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חשבונות\"/>
    </mc:Choice>
  </mc:AlternateContent>
  <xr:revisionPtr revIDLastSave="0" documentId="8_{19EAB247-B7DB-42F0-9953-2D5DA15D428B}" xr6:coauthVersionLast="47" xr6:coauthVersionMax="47" xr10:uidLastSave="{00000000-0000-0000-0000-000000000000}"/>
  <bookViews>
    <workbookView xWindow="-28920" yWindow="-120" windowWidth="29040" windowHeight="15840" firstSheet="1" activeTab="3" xr2:uid="{00000000-000D-0000-FFFF-FFFF00000000}"/>
  </bookViews>
  <sheets>
    <sheet name="פנסייה (ישן)" sheetId="10" state="hidden" r:id="rId1"/>
    <sheet name="ביטוח רפואי" sheetId="2" r:id="rId2"/>
    <sheet name="פנסייה יערה" sheetId="8" r:id="rId3"/>
    <sheet name="פנסייה" sheetId="1" r:id="rId4"/>
    <sheet name="הלוואות" sheetId="5" r:id="rId5"/>
    <sheet name="עו&quot;ש" sheetId="3" r:id="rId6"/>
    <sheet name="הלוואה לרכישת בית " sheetId="4" state="hidden" r:id="rId7"/>
    <sheet name="מחשבון דמי ניהול" sheetId="6" r:id="rId8"/>
    <sheet name="סיכום מסלולי השקעה" sheetId="7" r:id="rId9"/>
    <sheet name="Sheet2" sheetId="9" r:id="rId10"/>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53" i="7" l="1"/>
  <c r="AA46" i="7"/>
  <c r="AA49" i="7"/>
  <c r="D43" i="1"/>
  <c r="D43" i="3"/>
  <c r="E39" i="3"/>
  <c r="E42" i="3" s="1"/>
  <c r="D42" i="3"/>
  <c r="C42" i="3"/>
  <c r="E38" i="3"/>
  <c r="E37" i="3"/>
  <c r="AA44" i="7"/>
  <c r="AA45" i="7"/>
  <c r="AA50" i="7"/>
  <c r="L4" i="3"/>
  <c r="L3" i="3"/>
  <c r="L6" i="3" s="1"/>
  <c r="L2" i="3"/>
  <c r="E36" i="3"/>
  <c r="E35" i="3"/>
  <c r="E34" i="3"/>
  <c r="E33" i="3"/>
  <c r="E32" i="3"/>
  <c r="K6" i="3"/>
  <c r="E31" i="3"/>
  <c r="D45" i="10"/>
  <c r="C23" i="10"/>
  <c r="C8" i="10"/>
  <c r="E30" i="3"/>
  <c r="C27" i="3"/>
  <c r="E28" i="3"/>
  <c r="E29" i="3"/>
  <c r="D22" i="9"/>
  <c r="E22" i="9" s="1"/>
  <c r="B21" i="9"/>
  <c r="C17" i="9"/>
  <c r="D16" i="9" s="1"/>
  <c r="E16" i="9" s="1"/>
  <c r="E15" i="9"/>
  <c r="D15" i="9"/>
  <c r="E14" i="9"/>
  <c r="D14" i="9"/>
  <c r="E13" i="9"/>
  <c r="D13" i="9"/>
  <c r="E12" i="9"/>
  <c r="D12" i="9"/>
  <c r="B20" i="9" s="1"/>
  <c r="E11" i="9"/>
  <c r="D11" i="9"/>
  <c r="D10" i="9"/>
  <c r="D20" i="9" l="1"/>
  <c r="E10" i="9"/>
  <c r="E20" i="9" s="1"/>
  <c r="C7" i="8" l="1"/>
  <c r="A25" i="7"/>
  <c r="C22" i="6"/>
  <c r="B22" i="6"/>
  <c r="A22" i="6"/>
  <c r="C21" i="6"/>
  <c r="B21" i="6"/>
  <c r="A21" i="6"/>
  <c r="C20" i="6"/>
  <c r="B20" i="6"/>
  <c r="A20" i="6"/>
  <c r="C19" i="6"/>
  <c r="B19" i="6"/>
  <c r="A19" i="6"/>
  <c r="H6" i="6"/>
  <c r="I14" i="3"/>
  <c r="L37" i="4"/>
  <c r="L36" i="4"/>
  <c r="L32" i="4"/>
  <c r="K29" i="4"/>
  <c r="I21" i="4"/>
  <c r="I20" i="4"/>
  <c r="I19" i="4"/>
  <c r="D19" i="4"/>
  <c r="M15" i="4"/>
  <c r="I12" i="4"/>
  <c r="I14" i="4" s="1"/>
  <c r="S11" i="4"/>
  <c r="S13" i="4" s="1"/>
  <c r="Q11" i="4"/>
  <c r="Q13" i="4" s="1"/>
  <c r="J11" i="4"/>
  <c r="J15" i="4" s="1"/>
  <c r="T9" i="4"/>
  <c r="S9" i="4"/>
  <c r="S10" i="4" s="1"/>
  <c r="S15" i="4" s="1"/>
  <c r="Q9" i="4"/>
  <c r="M9" i="4"/>
  <c r="M10" i="4" s="1"/>
  <c r="D9" i="4"/>
  <c r="B10" i="4" s="1"/>
  <c r="B9" i="4"/>
  <c r="B11" i="4" s="1"/>
  <c r="C7" i="4"/>
  <c r="B7" i="4"/>
  <c r="C4" i="4"/>
  <c r="E3" i="4"/>
  <c r="C3" i="4"/>
  <c r="E26" i="3"/>
  <c r="E25" i="3"/>
  <c r="E24" i="3"/>
  <c r="D23" i="3"/>
  <c r="E22" i="3"/>
  <c r="E21" i="3"/>
  <c r="E20" i="3"/>
  <c r="E19" i="3"/>
  <c r="E18" i="3"/>
  <c r="E17" i="3"/>
  <c r="E16" i="3"/>
  <c r="E15" i="3"/>
  <c r="E14" i="3"/>
  <c r="E13" i="3"/>
  <c r="E12" i="3"/>
  <c r="E11" i="3"/>
  <c r="E10" i="3"/>
  <c r="E9" i="3"/>
  <c r="E8" i="3"/>
  <c r="E7" i="3"/>
  <c r="E6" i="3"/>
  <c r="E5" i="3"/>
  <c r="O4" i="3"/>
  <c r="E4" i="3"/>
  <c r="E3" i="3"/>
  <c r="E6" i="2"/>
  <c r="E5" i="2"/>
  <c r="E4" i="2"/>
  <c r="D6" i="2"/>
  <c r="D5" i="2"/>
  <c r="D4" i="2"/>
  <c r="K7" i="3" l="1"/>
  <c r="K8" i="3" s="1"/>
  <c r="L7" i="3"/>
  <c r="L8" i="3" s="1"/>
  <c r="E9" i="6"/>
  <c r="H9" i="6" s="1"/>
  <c r="E23" i="3"/>
  <c r="E27" i="3"/>
  <c r="H5" i="2"/>
  <c r="I29" i="4"/>
  <c r="L38" i="4"/>
  <c r="E11" i="6"/>
  <c r="H11" i="6" s="1"/>
  <c r="E15" i="6"/>
  <c r="H15" i="6" s="1"/>
  <c r="E13" i="6"/>
  <c r="H13" i="6" s="1"/>
  <c r="Q10" i="4"/>
  <c r="Q15" i="4" s="1"/>
  <c r="M11" i="4"/>
  <c r="M12" i="4" s="1"/>
  <c r="M14" i="4" s="1"/>
  <c r="D12" i="4"/>
</calcChain>
</file>

<file path=xl/sharedStrings.xml><?xml version="1.0" encoding="utf-8"?>
<sst xmlns="http://schemas.openxmlformats.org/spreadsheetml/2006/main" count="591" uniqueCount="353">
  <si>
    <t>פנסייה</t>
  </si>
  <si>
    <t>דמי ניהול</t>
  </si>
  <si>
    <t>מהפקדות</t>
  </si>
  <si>
    <t>מצבירה (שנתי)</t>
  </si>
  <si>
    <t>תשלום/העברה</t>
  </si>
  <si>
    <t>תגמולי עובד</t>
  </si>
  <si>
    <t>תגמולי מעביד</t>
  </si>
  <si>
    <t>-</t>
  </si>
  <si>
    <t>אינטרנט</t>
  </si>
  <si>
    <t>טלפון</t>
  </si>
  <si>
    <t>צבירה</t>
  </si>
  <si>
    <t>Triple C</t>
  </si>
  <si>
    <t>מורן-012</t>
  </si>
  <si>
    <t>תומר-019</t>
  </si>
  <si>
    <t>לכל החיים</t>
  </si>
  <si>
    <t>אובדן כושר עבודה 17210 ש"ח,4779 ₪ ביטוח חיים</t>
  </si>
  <si>
    <t>קופת גמל להשקעה</t>
  </si>
  <si>
    <t>תומר</t>
  </si>
  <si>
    <t>הפניקס גמל להשקעה מניות פאסיבי 7907</t>
  </si>
  <si>
    <t>נטע</t>
  </si>
  <si>
    <t>חיסכון לכל ילד</t>
  </si>
  <si>
    <t>איניפנטי חיסכון לילד חוסכים המעדיפים סיכון מוגבר 11373</t>
  </si>
  <si>
    <t>נטע-019</t>
  </si>
  <si>
    <t xml:space="preserve">ביטוח מבנה (כלל) מספר פוליסה: 433440218 </t>
  </si>
  <si>
    <t>מדיכלל השתלות וטיפולים מיוחדים בחו"ל 2016</t>
  </si>
  <si>
    <t>כיסוי</t>
  </si>
  <si>
    <t>ענף ביטוח</t>
  </si>
  <si>
    <t>סכום ביטוח</t>
  </si>
  <si>
    <t>פרמיה חודשית אחרונה נדרשת</t>
  </si>
  <si>
    <t>פרימיה שנתית</t>
  </si>
  <si>
    <t>תאריך התחלה</t>
  </si>
  <si>
    <t>תאריך סיום</t>
  </si>
  <si>
    <t>נספח הרחבה לתרופות 2018</t>
  </si>
  <si>
    <t>תרופות</t>
  </si>
  <si>
    <t>מדיכלל השתלות וטיפולים מיוחדים בחו"ל 2017</t>
  </si>
  <si>
    <t>השתלות</t>
  </si>
  <si>
    <t>מדיכלל תרופות 2017</t>
  </si>
  <si>
    <t>מורן+יערה</t>
  </si>
  <si>
    <t>תומר+נטע</t>
  </si>
  <si>
    <t>סה"כ חיוב חודשי</t>
  </si>
  <si>
    <t>אדוורדס לייפסיינסז - ההשתלות וטיפולים מיוחדים בחו"ל - 2021</t>
  </si>
  <si>
    <t>אדוורדס לייפסיינסז תרופות שאינן בסל הבריאות 2021</t>
  </si>
  <si>
    <t>אדוורדס לייפסיינסז -הרחבה לתרופות - 2021</t>
  </si>
  <si>
    <t>אדוורדס לייפסיינסז- ניתוחים ומחליפי ניתוח בחו"ל 2021</t>
  </si>
  <si>
    <t>אדוורדס לייפסיינס -שירותים אמבולטורים והוצאות מיוחדות- 2021</t>
  </si>
  <si>
    <t>משכנתא</t>
  </si>
  <si>
    <t>אויפמן נטליה 054-5657074 (BMC)</t>
  </si>
  <si>
    <t>תשלום חודשי 19 ₪ עבור כל ילד</t>
  </si>
  <si>
    <t>כיסוי:360,000 ₪</t>
  </si>
  <si>
    <t>תוקף פוליסה: 01/06/2026</t>
  </si>
  <si>
    <t>1.1  הפניקס פנסייה מקיפה מחקה מדד S&amp;P500 3197846011  70% 13335 (ישן)</t>
  </si>
  <si>
    <t>2.1 הפניקס פנסייה משלימה 1833286089 (ישן)</t>
  </si>
  <si>
    <t>3.2. מור השתלמות-כללי 236635 יישן</t>
  </si>
  <si>
    <r>
      <rPr>
        <strike/>
        <sz val="11"/>
        <color theme="1"/>
        <rFont val="Arial"/>
        <family val="2"/>
        <scheme val="minor"/>
      </rPr>
      <t>אלטשולר שחם גמל 236393 (קופה ישנה) אין הפקדות חדשות עבר לאנליסט 8779 (5039-000-0103140</t>
    </r>
    <r>
      <rPr>
        <strike/>
        <sz val="11"/>
        <color rgb="FFFF0000"/>
        <rFont val="Arial"/>
        <family val="2"/>
        <scheme val="minor"/>
      </rPr>
      <t>82</t>
    </r>
    <r>
      <rPr>
        <strike/>
        <sz val="11"/>
        <color theme="1"/>
        <rFont val="Arial"/>
        <family val="2"/>
        <scheme val="minor"/>
      </rPr>
      <t>).3.1</t>
    </r>
  </si>
  <si>
    <t>קופת גמל (קרן השתלמות)</t>
  </si>
  <si>
    <r>
      <t xml:space="preserve"> 1.2.  פנסיה מקיפה  (חדש) S&amp;P500, </t>
    </r>
    <r>
      <rPr>
        <b/>
        <sz val="11"/>
        <color theme="1"/>
        <rFont val="Arial"/>
        <family val="2"/>
        <scheme val="minor"/>
      </rPr>
      <t>כלל</t>
    </r>
    <r>
      <rPr>
        <sz val="11"/>
        <color theme="1"/>
        <rFont val="Arial"/>
        <family val="2"/>
        <charset val="177"/>
        <scheme val="minor"/>
      </rPr>
      <t xml:space="preserve"> דמי ניהול יורדים ע"פ הצבירה 13347 12/2024</t>
    </r>
  </si>
  <si>
    <r>
      <t xml:space="preserve">2.2 </t>
    </r>
    <r>
      <rPr>
        <b/>
        <sz val="11"/>
        <color theme="1"/>
        <rFont val="Arial"/>
        <family val="2"/>
        <scheme val="minor"/>
      </rPr>
      <t>כלל</t>
    </r>
    <r>
      <rPr>
        <sz val="11"/>
        <color theme="1"/>
        <rFont val="Arial"/>
        <family val="2"/>
        <charset val="177"/>
        <scheme val="minor"/>
      </rPr>
      <t xml:space="preserve"> פנסיה משלימה עוקב מדדי מניות  (חדש) 15091</t>
    </r>
  </si>
  <si>
    <t>רכב</t>
  </si>
  <si>
    <t>חובה (הראל)</t>
  </si>
  <si>
    <t>מקיף (הראל)</t>
  </si>
  <si>
    <t>קולקטיב-חברת כלל</t>
  </si>
  <si>
    <t>סוג</t>
  </si>
  <si>
    <t>מספר פוליסה</t>
  </si>
  <si>
    <t>חברה</t>
  </si>
  <si>
    <t>הראל</t>
  </si>
  <si>
    <t>תאונות אישיות</t>
  </si>
  <si>
    <t>עלות</t>
  </si>
  <si>
    <t>הערות</t>
  </si>
  <si>
    <t>מורן</t>
  </si>
  <si>
    <t>כיסוי 282,500 ₪</t>
  </si>
  <si>
    <t>הראל (דקלה)</t>
  </si>
  <si>
    <t>חיים (איילון) מספר פוליסה: 14277405</t>
  </si>
  <si>
    <t>הפניקס חיים ובריאות</t>
  </si>
  <si>
    <t>כלל רכב/דירה/עסק</t>
  </si>
  <si>
    <t>מגדל חיים/בריאות</t>
  </si>
  <si>
    <t>איילון ביטוח חיים ובריאות</t>
  </si>
  <si>
    <t xml:space="preserve">הראל ביטוח בריאות </t>
  </si>
  <si>
    <t>הראל ביטוח בריאות</t>
  </si>
  <si>
    <t>מופיע בחיוב</t>
  </si>
  <si>
    <t>114/81.65</t>
  </si>
  <si>
    <t>היה 63 עכשיו 95</t>
  </si>
  <si>
    <r>
      <t>ניתוחים מהשקל הראשון ומחליפי ניתוח 2021 +</t>
    </r>
    <r>
      <rPr>
        <b/>
        <sz val="11"/>
        <color theme="1"/>
        <rFont val="Arial"/>
        <family val="2"/>
        <scheme val="minor"/>
      </rPr>
      <t xml:space="preserve"> ביטוח מחלות קשות 38 ש"ח </t>
    </r>
    <r>
      <rPr>
        <sz val="11"/>
        <color theme="1"/>
        <rFont val="Arial"/>
        <family val="2"/>
        <charset val="177"/>
        <scheme val="minor"/>
      </rPr>
      <t>(חברת מגדל)</t>
    </r>
  </si>
  <si>
    <t>סיכום חיובים חודשי (מאומת)</t>
  </si>
  <si>
    <t>מטרייה ביטוחית</t>
  </si>
  <si>
    <t>משכנתא-ביטוח מבנה</t>
  </si>
  <si>
    <t>משכנתא-ביטוח חיים</t>
  </si>
  <si>
    <t>תומר ונטע מחלות קשות</t>
  </si>
  <si>
    <t>סה"כ</t>
  </si>
  <si>
    <t>חודש</t>
  </si>
  <si>
    <t>הוצאה</t>
  </si>
  <si>
    <t>סיבה</t>
  </si>
  <si>
    <t>יערה</t>
  </si>
  <si>
    <t>הוצאה חודשית ממוצעת</t>
  </si>
  <si>
    <t>שכר מורן</t>
  </si>
  <si>
    <t>שכר יערה</t>
  </si>
  <si>
    <t>הכנסה</t>
  </si>
  <si>
    <t>הלוואה יערה</t>
  </si>
  <si>
    <t>טיול</t>
  </si>
  <si>
    <t>הוצאות</t>
  </si>
  <si>
    <t>הוצאות אשראי</t>
  </si>
  <si>
    <t>עו"ש</t>
  </si>
  <si>
    <t>אבא</t>
  </si>
  <si>
    <t>עלות בית</t>
  </si>
  <si>
    <t>מכירה</t>
  </si>
  <si>
    <t>קופת גמל יערה</t>
  </si>
  <si>
    <t>קופת גמל מורן</t>
  </si>
  <si>
    <t>כספים</t>
  </si>
  <si>
    <t>החזר חודשי</t>
  </si>
  <si>
    <t>בעו"ש</t>
  </si>
  <si>
    <t>תמונת מצב</t>
  </si>
  <si>
    <t>חסכון</t>
  </si>
  <si>
    <t>הון עצמי נדרש</t>
  </si>
  <si>
    <t>שארית עבור מכירה</t>
  </si>
  <si>
    <t>סה"כ  (עו"ש)</t>
  </si>
  <si>
    <t>מס רכישה</t>
  </si>
  <si>
    <t xml:space="preserve">סה"כ </t>
  </si>
  <si>
    <t>כסף לטובת הקניה (עו"ש - הוצאות נוספות=)</t>
  </si>
  <si>
    <t>אבא 2</t>
  </si>
  <si>
    <t>אחרי השארה של הכסף עבור הוצאות נוספות (135K)</t>
  </si>
  <si>
    <t>סה"כ הון עצמי</t>
  </si>
  <si>
    <t>השארה בצד של 150K לשיפוץ</t>
  </si>
  <si>
    <t>משכנתה</t>
  </si>
  <si>
    <t>דירה</t>
  </si>
  <si>
    <t>יתרה לתשלום לאחר משכנתה (מהעו"ש)</t>
  </si>
  <si>
    <t>משכתה צפויה</t>
  </si>
  <si>
    <t>כסף לקנייה</t>
  </si>
  <si>
    <t>סה"כ החזר חודשי הלוואות</t>
  </si>
  <si>
    <t>שיפוץ (אבא +150K)</t>
  </si>
  <si>
    <t>נשאר בעו"ש בסוף הוצאות נוספות (ליום סגריר)</t>
  </si>
  <si>
    <t>הוצאות נוספות</t>
  </si>
  <si>
    <t>תשלומי קנייה</t>
  </si>
  <si>
    <t>תאריך העברה</t>
  </si>
  <si>
    <t>עו"ד</t>
  </si>
  <si>
    <t>עו"ד 2</t>
  </si>
  <si>
    <t>תיווך</t>
  </si>
  <si>
    <t>שמאות מוקדמת</t>
  </si>
  <si>
    <t>אישור נוטריוני</t>
  </si>
  <si>
    <t>יועצת משכנתא</t>
  </si>
  <si>
    <t>בדק בית</t>
  </si>
  <si>
    <t>הובלה</t>
  </si>
  <si>
    <t xml:space="preserve">הוצאות נוספות </t>
  </si>
  <si>
    <t>מקדם ביטחון (ליום סגריר)</t>
  </si>
  <si>
    <t>מעבר דירה</t>
  </si>
  <si>
    <t>עליוות</t>
  </si>
  <si>
    <t>רהיטים</t>
  </si>
  <si>
    <t>מקססטוק</t>
  </si>
  <si>
    <t>מאוורר</t>
  </si>
  <si>
    <t>כלי עבודה</t>
  </si>
  <si>
    <t>מחסן</t>
  </si>
  <si>
    <t>סכום הלוואה</t>
  </si>
  <si>
    <t>החזר משוער</t>
  </si>
  <si>
    <t xml:space="preserve">ריבית </t>
  </si>
  <si>
    <t>P-0.5%</t>
  </si>
  <si>
    <r>
      <rPr>
        <b/>
        <sz val="11"/>
        <color theme="1"/>
        <rFont val="Arial"/>
        <family val="2"/>
        <scheme val="minor"/>
      </rPr>
      <t>הפניקס</t>
    </r>
    <r>
      <rPr>
        <sz val="11"/>
        <color theme="1"/>
        <rFont val="Arial"/>
        <family val="2"/>
        <charset val="177"/>
        <scheme val="minor"/>
      </rPr>
      <t xml:space="preserve"> פוליסת סיכון טהור-מטרייה לקרן הפנסייה 1836345080 </t>
    </r>
  </si>
  <si>
    <t>כיסוי של 21,227 ₪</t>
  </si>
  <si>
    <t>נוכחי0.7/0.0583ישן</t>
  </si>
  <si>
    <t>שכר של 28,025</t>
  </si>
  <si>
    <r>
      <t xml:space="preserve">הראל גמל להשקעה-P 500&amp;S עוקב מדד  (נפתח ב-09/10/2024 </t>
    </r>
    <r>
      <rPr>
        <b/>
        <sz val="11"/>
        <color rgb="FFFF0000"/>
        <rFont val="Arial"/>
        <family val="2"/>
        <scheme val="minor"/>
      </rPr>
      <t>ולא פעיל</t>
    </r>
    <r>
      <rPr>
        <sz val="11"/>
        <color theme="1"/>
        <rFont val="Arial"/>
        <family val="2"/>
        <charset val="177"/>
        <scheme val="minor"/>
      </rPr>
      <t>)</t>
    </r>
  </si>
  <si>
    <t>מחשבון דמי ניהול</t>
  </si>
  <si>
    <t>מס' שנים עד הפרישה</t>
  </si>
  <si>
    <t>הפקדה חודשית</t>
  </si>
  <si>
    <t>תשואה</t>
  </si>
  <si>
    <t>יתרה ללא דמי ניהול</t>
  </si>
  <si>
    <t>אפשרות</t>
  </si>
  <si>
    <t>מהפקדה</t>
  </si>
  <si>
    <t>מצבירה</t>
  </si>
  <si>
    <t>יתרה סופית נטו</t>
  </si>
  <si>
    <t>סה"כ דמי ניהול</t>
  </si>
  <si>
    <t>מצב קיים</t>
  </si>
  <si>
    <t>אלטרנטיבה 1</t>
  </si>
  <si>
    <t xml:space="preserve">אלטרנטיבה 2 </t>
  </si>
  <si>
    <t>אלטרנטיבה 3</t>
  </si>
  <si>
    <t>תשואה חודשית נטו</t>
  </si>
  <si>
    <t>משך</t>
  </si>
  <si>
    <t>הפרשה חודשית נטו</t>
  </si>
  <si>
    <t>תיק השקעות מצוי</t>
  </si>
  <si>
    <t>מוצר</t>
  </si>
  <si>
    <t>מסלול</t>
  </si>
  <si>
    <t>דמי ניהול מצבירה</t>
  </si>
  <si>
    <t>דמי ניהול מהפקדה</t>
  </si>
  <si>
    <t>איפה?</t>
  </si>
  <si>
    <t xml:space="preserve"> פנסיה </t>
  </si>
  <si>
    <t>S&amp;P 500</t>
  </si>
  <si>
    <t>כלל</t>
  </si>
  <si>
    <t>השתלמות כללי</t>
  </si>
  <si>
    <t>השתלמות משולב סחיר</t>
  </si>
  <si>
    <t>אנליסט</t>
  </si>
  <si>
    <t>השתלמות לא פעיל</t>
  </si>
  <si>
    <t>תיק מסחר</t>
  </si>
  <si>
    <t>קרן ביטחון</t>
  </si>
  <si>
    <t>פקדון בנקאי</t>
  </si>
  <si>
    <t>סה"כ צבירה</t>
  </si>
  <si>
    <t>הפקדה</t>
  </si>
  <si>
    <t>חיסכון חודשי=הכנסה-הוצאה</t>
  </si>
  <si>
    <r>
      <rPr>
        <b/>
        <u/>
        <sz val="10"/>
        <color rgb="FF000000"/>
        <rFont val="Arial"/>
        <family val="2"/>
      </rPr>
      <t>חשוב</t>
    </r>
    <r>
      <rPr>
        <b/>
        <sz val="10"/>
        <color rgb="FF000000"/>
        <rFont val="Arial"/>
        <family val="2"/>
      </rPr>
      <t xml:space="preserve">: </t>
    </r>
    <r>
      <rPr>
        <sz val="11"/>
        <color theme="1"/>
        <rFont val="Arial"/>
        <family val="2"/>
        <charset val="177"/>
        <scheme val="minor"/>
      </rPr>
      <t xml:space="preserve">תוכן קובץ אינו מהווה תחליף לייעוץ המתחשב בנתונים ובצרכים המיוחדים של כל אדם. הקובץ נוצר למטרות לימודיות והאחריות על השימוש בו הוא על המשתמש בלבד. ליוצר הקובץ עשוי להיות ענין אישי בנושאים המפורטים בקובץ שכן עשוי להיות מושקע בעצמו בניירות ערך ובנכסים הפיננסיים המוזכרים בקובץ. השקעות מכל סוג תמיד כרוכות בסיכון. </t>
    </r>
  </si>
  <si>
    <t>ברכות לרגל סיום התוכנית האישית! אתם ממש קרובים לתיק ההשקעות שלכם.</t>
  </si>
  <si>
    <t>חברה מנהלת</t>
  </si>
  <si>
    <t>שם הקרן</t>
  </si>
  <si>
    <t>במה היא מושקעת?</t>
  </si>
  <si>
    <t>סימול/מס' נייר</t>
  </si>
  <si>
    <t>מחלקת/צוברת דיבידנדים</t>
  </si>
  <si>
    <t>סוג קרן</t>
  </si>
  <si>
    <t>איפה נסחרת</t>
  </si>
  <si>
    <t>לינק</t>
  </si>
  <si>
    <t>iShares</t>
  </si>
  <si>
    <t>iShares Core S&amp;P 500 UCITS ETF</t>
  </si>
  <si>
    <t>S&amp;P500</t>
  </si>
  <si>
    <t>צוברת</t>
  </si>
  <si>
    <t>אירית</t>
  </si>
  <si>
    <t>ישראל</t>
  </si>
  <si>
    <t>https://www.blackrock.com/il/individual/en/products/253743/ishares-sp-500-b-ucits-etf-acc-fund</t>
  </si>
  <si>
    <t>iShares MSCI ACWI UCITS ETF</t>
  </si>
  <si>
    <t>מדד מניות עולמי ACWI</t>
  </si>
  <si>
    <t>https://www.blackrock.com/il/individual/en/products/251850/ishares-msci-acwi-ucits-etf</t>
  </si>
  <si>
    <t>iShares NASDAQ 100 UCITS ETF</t>
  </si>
  <si>
    <t>מדד נאסד''ק 100</t>
  </si>
  <si>
    <t>https://www.blackrock.com/il/individual/en/products/253741/ishares-nasdaq-100-ucits-etf</t>
  </si>
  <si>
    <t>INVESCO</t>
  </si>
  <si>
    <t>Invesco S&amp;P 500 UCITS ETF Acc</t>
  </si>
  <si>
    <t>https://www.invesco.com/fi/en/financial-products/etfs/invesco-sp-500-ucits-etf-acc.html</t>
  </si>
  <si>
    <t>Invesco MSCI World UCITS ETF Acc</t>
  </si>
  <si>
    <t>מדד מניות עולמי WORLD</t>
  </si>
  <si>
    <t>https://www.invesco.com/uk/en/financial-products/etfs/invesco-msci-world-ucits-etf-acc.html#Overview</t>
  </si>
  <si>
    <t>Invesco NASDAQ-100 Swap UCITS ETF Acc</t>
  </si>
  <si>
    <t>https://www.invesco.com/il/en/financial-products/etfs/invesco-nasdaq-100-swap-ucits-etf-acc.html</t>
  </si>
  <si>
    <t>Invesco Russell 2000 UCITS ETF Acc</t>
  </si>
  <si>
    <t>מדד Russell 2000</t>
  </si>
  <si>
    <t>https://www.invesco.com/uk/en/financial-products/etfs/invesco-russell-2000-ucits-etf-acc.html#Trading-%26-Security</t>
  </si>
  <si>
    <t>תכלית</t>
  </si>
  <si>
    <t>תכלית סל תא 125</t>
  </si>
  <si>
    <t>מדד ת"א 125</t>
  </si>
  <si>
    <t>ישראלית</t>
  </si>
  <si>
    <t>https://market.tase.co.il/he/market_data/etf/1143718/major_data</t>
  </si>
  <si>
    <t>קסם</t>
  </si>
  <si>
    <t>קסם סל תא 35</t>
  </si>
  <si>
    <t>מדד ת"א 35</t>
  </si>
  <si>
    <t>https://www.tase.co.il/he/market_data/etf/1146570/major_data</t>
  </si>
  <si>
    <t>קסם.ממשלתי כללי</t>
  </si>
  <si>
    <t>אג"ח ישראל - ממשלתי</t>
  </si>
  <si>
    <t>https://market.tase.co.il/he/market_data/etf/1146646/major_data</t>
  </si>
  <si>
    <t>מגדל</t>
  </si>
  <si>
    <t>MTF מחקה‏ תל גוב-צמודות</t>
  </si>
  <si>
    <t xml:space="preserve">אג"ח ישראל צמוד מדד - ממשלתי </t>
  </si>
  <si>
    <t>https://www.funder.co.il/fund/5117866</t>
  </si>
  <si>
    <t>אי.בי.אי.</t>
  </si>
  <si>
    <t>אי.בי.אי. מחקה תל גוב-צמודות 0-2</t>
  </si>
  <si>
    <t>אג"ח ישראל צמוד מדד מח"מ 0-2 שנים - ממשלתי</t>
  </si>
  <si>
    <t>https://www.funder.co.il/fund/5131701</t>
  </si>
  <si>
    <t>Vanguard</t>
  </si>
  <si>
    <t>Vanguard Total World Stock ETF</t>
  </si>
  <si>
    <t>מדד מניות עולמי</t>
  </si>
  <si>
    <t>VT</t>
  </si>
  <si>
    <t>מחלקת</t>
  </si>
  <si>
    <t>אמריקאית</t>
  </si>
  <si>
    <t>ארה"ב</t>
  </si>
  <si>
    <t>https://investor.vanguard.com/investment-products/etfs/profile/vt</t>
  </si>
  <si>
    <t>Vanguard S&amp;P 500 ETF</t>
  </si>
  <si>
    <t>VOO</t>
  </si>
  <si>
    <t>https://investor.vanguard.com/investment-products/etfs/profile/voo</t>
  </si>
  <si>
    <t>Vanguard Total Bond Market ETF</t>
  </si>
  <si>
    <t>אג"ח ארה"ב</t>
  </si>
  <si>
    <t>BND</t>
  </si>
  <si>
    <t>https://investor.vanguard.com/investment-products/etfs/profile/bnd</t>
  </si>
  <si>
    <t>Vanguard Total World Bond ETF</t>
  </si>
  <si>
    <t>אג"ח עולמי</t>
  </si>
  <si>
    <t>BNDW</t>
  </si>
  <si>
    <t>https://investor.vanguard.com/investment-products/etfs/profile/bndw</t>
  </si>
  <si>
    <t>קרנות כספיות</t>
  </si>
  <si>
    <t xml:space="preserve">טבלת קרנות: </t>
  </si>
  <si>
    <t>https://www.funder.co.il/kaspit</t>
  </si>
  <si>
    <t>סרטון הדרכה:</t>
  </si>
  <si>
    <t>https://www.youtube.com/watch?v=saPXT6IrqEk</t>
  </si>
  <si>
    <t>מנורה מבטחים פנסייה מקיפה  61.98% עוקב מדד 500 S&amp;P ו-38.02% אשראי ואג"ח</t>
  </si>
  <si>
    <t xml:space="preserve">מנורה מבטחים משלימה  יעד פרישה 2050 </t>
  </si>
  <si>
    <t>הלוואה 51,500/66,252</t>
  </si>
  <si>
    <t>dd</t>
  </si>
  <si>
    <t>מחשבון תמהיל תיק השקעות</t>
  </si>
  <si>
    <t>אחוז חשיפה למניות במסלול ההשקעה</t>
  </si>
  <si>
    <t xml:space="preserve">מכשיר </t>
  </si>
  <si>
    <t>חלק מנייתי</t>
  </si>
  <si>
    <t>חלק סולידי</t>
  </si>
  <si>
    <t>כמה אחוז במסלול מחקה מדד</t>
  </si>
  <si>
    <t>עמודה1</t>
  </si>
  <si>
    <t>עמודה2</t>
  </si>
  <si>
    <t>החלק המנייתי של התיק</t>
  </si>
  <si>
    <t xml:space="preserve">החלק הסולידי של התיק </t>
  </si>
  <si>
    <t xml:space="preserve">פנסיה מקיפה </t>
  </si>
  <si>
    <t>פנסיה משלימה</t>
  </si>
  <si>
    <t>קרן השתלמות</t>
  </si>
  <si>
    <t>פקדונות</t>
  </si>
  <si>
    <t>עובר ושב</t>
  </si>
  <si>
    <t>חשבון מסחר</t>
  </si>
  <si>
    <t>אחוז החשיפה למניות שבחרתי</t>
  </si>
  <si>
    <t>פילוח כל הצבירה שלי בשקלים</t>
  </si>
  <si>
    <t>מנייתי</t>
  </si>
  <si>
    <t>סולידי</t>
  </si>
  <si>
    <t xml:space="preserve">מינימום חשיפה למניות </t>
  </si>
  <si>
    <t xml:space="preserve">מקסימום חשיפה למניות </t>
  </si>
  <si>
    <t>פילוח ההפקדה החודשית שלי בחשבון המסחר</t>
  </si>
  <si>
    <t>הפקדה חודשית לחשבון המסחר</t>
  </si>
  <si>
    <t>פנייה מספר: 40725 (טל)</t>
  </si>
  <si>
    <t>מספר קרן</t>
  </si>
  <si>
    <t>כספית</t>
  </si>
  <si>
    <r>
      <t xml:space="preserve">אנליסט  10314082 (אוצר 560) </t>
    </r>
    <r>
      <rPr>
        <b/>
        <sz val="11"/>
        <color rgb="FFFF0000"/>
        <rFont val="Arial"/>
        <family val="2"/>
        <scheme val="minor"/>
      </rPr>
      <t>לא פעיל</t>
    </r>
    <r>
      <rPr>
        <sz val="11"/>
        <color theme="1"/>
        <rFont val="Arial"/>
        <family val="2"/>
        <charset val="177"/>
        <scheme val="minor"/>
      </rPr>
      <t xml:space="preserve">, השתלמות משולב סחיר </t>
    </r>
    <r>
      <rPr>
        <b/>
        <sz val="11"/>
        <color theme="1"/>
        <rFont val="Arial"/>
        <family val="2"/>
        <scheme val="minor"/>
      </rPr>
      <t>8779 3.3</t>
    </r>
  </si>
  <si>
    <r>
      <rPr>
        <b/>
        <sz val="11"/>
        <color theme="1"/>
        <rFont val="Arial"/>
        <family val="2"/>
        <scheme val="minor"/>
      </rPr>
      <t>3.3</t>
    </r>
    <r>
      <rPr>
        <sz val="11"/>
        <color theme="1"/>
        <rFont val="Arial"/>
        <family val="2"/>
        <charset val="177"/>
        <scheme val="minor"/>
      </rPr>
      <t xml:space="preserve">. </t>
    </r>
    <r>
      <rPr>
        <b/>
        <sz val="11"/>
        <color theme="1"/>
        <rFont val="Arial"/>
        <family val="2"/>
        <scheme val="minor"/>
      </rPr>
      <t>אנליסט</t>
    </r>
    <r>
      <rPr>
        <sz val="11"/>
        <color theme="1"/>
        <rFont val="Arial"/>
        <family val="2"/>
        <charset val="177"/>
        <scheme val="minor"/>
      </rPr>
      <t xml:space="preserve"> השתלמות משולב סחיר 8779 שכיר חדש (5039-000-0103140</t>
    </r>
    <r>
      <rPr>
        <sz val="11"/>
        <color rgb="FFFF0000"/>
        <rFont val="Arial"/>
        <family val="2"/>
        <scheme val="minor"/>
      </rPr>
      <t>89</t>
    </r>
    <r>
      <rPr>
        <sz val="11"/>
        <color theme="1"/>
        <rFont val="Arial"/>
        <family val="2"/>
        <charset val="177"/>
        <scheme val="minor"/>
      </rPr>
      <t>), השתנה (13/11/24)  למשולב סחיר 8779(50%) + השתלמות כללי 962(50%)</t>
    </r>
  </si>
  <si>
    <t>פרגולה</t>
  </si>
  <si>
    <t>סיעודי מורן (כללית)</t>
  </si>
  <si>
    <t>סיעודי תומר (כללית)</t>
  </si>
  <si>
    <t>1498/124.8</t>
  </si>
  <si>
    <t>כללית מושלם</t>
  </si>
  <si>
    <t>כללית</t>
  </si>
  <si>
    <t>מבוגר</t>
  </si>
  <si>
    <t>ילד</t>
  </si>
  <si>
    <t>143.9 מושלם משפחתי</t>
  </si>
  <si>
    <t>סעודי משפחתי 135.86</t>
  </si>
  <si>
    <t>כללב.בריאותה.ק</t>
  </si>
  <si>
    <t>קולקטיב עבודה</t>
  </si>
  <si>
    <t>מושלם</t>
  </si>
  <si>
    <t>סיעודי</t>
  </si>
  <si>
    <t>כללית סיעודי</t>
  </si>
  <si>
    <t>חיוב אצל יערה</t>
  </si>
  <si>
    <t>חובה (9M)</t>
  </si>
  <si>
    <t>מקיף (9M)</t>
  </si>
  <si>
    <t>חיסכון שנתי (12 חודשים)</t>
  </si>
  <si>
    <t>עבור מורן 98.4 ₪(משולם ע"י המעסיק)</t>
  </si>
  <si>
    <t>8779+962</t>
  </si>
  <si>
    <t>נזיל (לא פעיל)</t>
  </si>
  <si>
    <t>תאריך</t>
  </si>
  <si>
    <t>נייר ערך</t>
  </si>
  <si>
    <t>סכום</t>
  </si>
  <si>
    <t>(81.65 5/24-5/2025) 101.7</t>
  </si>
  <si>
    <t>עד 1/11/25</t>
  </si>
  <si>
    <t>אחרי 1/11/25</t>
  </si>
  <si>
    <t>ACWI (1159235)</t>
  </si>
  <si>
    <t>ת"א 125 (1155324)</t>
  </si>
  <si>
    <t>NSQ 100 (1186063)</t>
  </si>
  <si>
    <t>S&amp;P 500(5124482)</t>
  </si>
  <si>
    <t>16143($5030)</t>
  </si>
  <si>
    <t>7649($2389)</t>
  </si>
  <si>
    <t>($6179.15) 19563.2</t>
  </si>
  <si>
    <t xml:space="preserve"> Invesco NASDAQ 100 ETF  (QQQM)</t>
  </si>
  <si>
    <t xml:space="preserve"> Ishares MSCI World Index Fund (URTA)</t>
  </si>
  <si>
    <t>Western Digital Corporation (WDC)</t>
  </si>
  <si>
    <t>3530 ($1145)</t>
  </si>
  <si>
    <t>Sandisk Corporation (SNDK)</t>
  </si>
  <si>
    <t>4005.3 ($1300)</t>
  </si>
  <si>
    <t>מנורה מבטחים השתלמות | מספר חשבון  | מספר קופה 828- 40% השתלמות כללי + 20%  מסלול סנופי + 40% השתלמות מניות סחיר</t>
  </si>
  <si>
    <t>מנורה מבטחים השתלמות | מספר חשבון  | מספר קופה 828- 38% השתלמות כללי + 21%  מסלול סנופי + 40% השתלמות מניות סחיר</t>
  </si>
  <si>
    <r>
      <t xml:space="preserve">אנליסט   (אוצר 560) </t>
    </r>
    <r>
      <rPr>
        <b/>
        <sz val="11"/>
        <color rgb="FFFF0000"/>
        <rFont val="Arial"/>
        <family val="2"/>
        <scheme val="minor"/>
      </rPr>
      <t>לא פעיל</t>
    </r>
    <r>
      <rPr>
        <sz val="11"/>
        <color theme="1"/>
        <rFont val="Arial"/>
        <family val="2"/>
        <charset val="177"/>
        <scheme val="minor"/>
      </rPr>
      <t xml:space="preserve">, השתלמות משולב סחיר </t>
    </r>
    <r>
      <rPr>
        <b/>
        <sz val="11"/>
        <color theme="1"/>
        <rFont val="Arial"/>
        <family val="2"/>
        <scheme val="minor"/>
      </rPr>
      <t>8779 3.3</t>
    </r>
  </si>
  <si>
    <r>
      <rPr>
        <b/>
        <sz val="11"/>
        <color theme="1"/>
        <rFont val="Arial"/>
        <family val="2"/>
        <scheme val="minor"/>
      </rPr>
      <t>3.3</t>
    </r>
    <r>
      <rPr>
        <sz val="11"/>
        <color theme="1"/>
        <rFont val="Arial"/>
        <family val="2"/>
        <charset val="177"/>
        <scheme val="minor"/>
      </rPr>
      <t xml:space="preserve">. </t>
    </r>
    <r>
      <rPr>
        <b/>
        <sz val="11"/>
        <color theme="1"/>
        <rFont val="Arial"/>
        <family val="2"/>
        <scheme val="minor"/>
      </rPr>
      <t>אנליסט</t>
    </r>
    <r>
      <rPr>
        <sz val="11"/>
        <color theme="1"/>
        <rFont val="Arial"/>
        <family val="2"/>
        <charset val="177"/>
        <scheme val="minor"/>
      </rPr>
      <t xml:space="preserve"> השתלמות משולב סחיר 8779 שכיר חדש (), השתנה (13/11/24)  למשולב סחיר 8779(50%) + השתלמות כללי 962(50%)</t>
    </r>
  </si>
  <si>
    <r>
      <rPr>
        <b/>
        <sz val="11"/>
        <color theme="1"/>
        <rFont val="Arial"/>
        <family val="2"/>
        <scheme val="minor"/>
      </rPr>
      <t>הפניקס</t>
    </r>
    <r>
      <rPr>
        <sz val="11"/>
        <color theme="1"/>
        <rFont val="Arial"/>
        <family val="2"/>
        <charset val="177"/>
        <scheme val="minor"/>
      </rPr>
      <t xml:space="preserve"> פוליסת סיכון טהור-מטרייה לקרן הפנסייה  </t>
    </r>
  </si>
  <si>
    <t xml:space="preserve">ביטוח מבנה (כלל) מספר פוליסה:  </t>
  </si>
  <si>
    <t xml:space="preserve">חיים (איילון) מספר פוליסה: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</si>
</sst>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_(&quot;$&quot;* #,##0.00_);_(&quot;$&quot;* \(#,##0.00\);_(&quot;$&quot;* &quot;-&quot;??_);_(@_)"/>
    <numFmt numFmtId="165" formatCode="dd\.mm\.yy;@"/>
    <numFmt numFmtId="166" formatCode="#,##0.0"/>
    <numFmt numFmtId="167" formatCode="_ [$₪-40D]\ * #,##0_ ;_ [$₪-40D]\ * \-#,##0_ ;_ [$₪-40D]\ * &quot;-&quot;??_ ;_ @_ "/>
    <numFmt numFmtId="168" formatCode="0.0%"/>
    <numFmt numFmtId="169" formatCode="&quot;₪&quot;\ #,##0"/>
  </numFmts>
  <fonts count="43">
    <font>
      <sz val="11"/>
      <color theme="1"/>
      <name val="Arial"/>
      <family val="2"/>
      <charset val="177"/>
      <scheme val="minor"/>
    </font>
    <font>
      <strike/>
      <sz val="11"/>
      <color theme="1"/>
      <name val="Arial"/>
      <family val="2"/>
      <charset val="177"/>
      <scheme val="minor"/>
    </font>
    <font>
      <strike/>
      <sz val="11"/>
      <color theme="1"/>
      <name val="Arial"/>
      <family val="2"/>
      <scheme val="minor"/>
    </font>
    <font>
      <u/>
      <sz val="11"/>
      <color theme="10"/>
      <name val="Arial"/>
      <family val="2"/>
      <charset val="177"/>
      <scheme val="minor"/>
    </font>
    <font>
      <sz val="11"/>
      <color rgb="FFFF0000"/>
      <name val="Arial"/>
      <family val="2"/>
      <scheme val="minor"/>
    </font>
    <font>
      <b/>
      <sz val="11"/>
      <color theme="1"/>
      <name val="Arial"/>
      <family val="2"/>
      <charset val="177"/>
      <scheme val="minor"/>
    </font>
    <font>
      <b/>
      <sz val="11"/>
      <color theme="1"/>
      <name val="Arial"/>
      <family val="2"/>
      <scheme val="minor"/>
    </font>
    <font>
      <strike/>
      <sz val="11"/>
      <color rgb="FFFF0000"/>
      <name val="Arial"/>
      <family val="2"/>
      <scheme val="minor"/>
    </font>
    <font>
      <sz val="11"/>
      <color theme="1"/>
      <name val="Arial"/>
      <family val="2"/>
      <scheme val="minor"/>
    </font>
    <font>
      <sz val="11"/>
      <color theme="1"/>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b/>
      <sz val="11"/>
      <color rgb="FFFA7D00"/>
      <name val="Arial"/>
      <family val="2"/>
      <charset val="177"/>
      <scheme val="minor"/>
    </font>
    <font>
      <sz val="11"/>
      <name val="Arial"/>
      <family val="2"/>
      <charset val="177"/>
      <scheme val="minor"/>
    </font>
    <font>
      <b/>
      <sz val="11"/>
      <color rgb="FFFF0000"/>
      <name val="Arial"/>
      <family val="2"/>
      <scheme val="minor"/>
    </font>
    <font>
      <b/>
      <sz val="48"/>
      <color theme="1"/>
      <name val="Arial"/>
      <family val="2"/>
      <scheme val="minor"/>
    </font>
    <font>
      <sz val="12"/>
      <color theme="1"/>
      <name val="Arial"/>
      <family val="2"/>
      <scheme val="minor"/>
    </font>
    <font>
      <b/>
      <sz val="14"/>
      <color theme="1"/>
      <name val="Arial"/>
      <family val="2"/>
      <scheme val="minor"/>
    </font>
    <font>
      <sz val="16"/>
      <color theme="1"/>
      <name val="Arial"/>
      <family val="2"/>
      <charset val="177"/>
      <scheme val="minor"/>
    </font>
    <font>
      <b/>
      <sz val="14"/>
      <color theme="0"/>
      <name val="Arial"/>
      <family val="2"/>
      <scheme val="minor"/>
    </font>
    <font>
      <sz val="14"/>
      <color theme="1"/>
      <name val="Arial"/>
      <family val="2"/>
      <scheme val="minor"/>
    </font>
    <font>
      <b/>
      <sz val="18"/>
      <color theme="1"/>
      <name val="Arial"/>
      <family val="2"/>
      <scheme val="minor"/>
    </font>
    <font>
      <b/>
      <sz val="12"/>
      <color theme="1"/>
      <name val="Arial"/>
      <family val="2"/>
      <scheme val="minor"/>
    </font>
    <font>
      <b/>
      <sz val="22"/>
      <color theme="1"/>
      <name val="Arial"/>
      <family val="2"/>
      <scheme val="minor"/>
    </font>
    <font>
      <b/>
      <sz val="16"/>
      <color theme="1"/>
      <name val="Arial"/>
      <family val="2"/>
      <scheme val="minor"/>
    </font>
    <font>
      <sz val="16"/>
      <color theme="1"/>
      <name val="Arial"/>
      <family val="2"/>
      <scheme val="minor"/>
    </font>
    <font>
      <b/>
      <sz val="20"/>
      <color theme="0"/>
      <name val="Arial"/>
      <family val="2"/>
      <scheme val="minor"/>
    </font>
    <font>
      <sz val="24"/>
      <color theme="1"/>
      <name val="Arial"/>
      <family val="2"/>
      <charset val="177"/>
      <scheme val="minor"/>
    </font>
    <font>
      <sz val="10"/>
      <color rgb="FF000000"/>
      <name val="Arial"/>
      <family val="2"/>
    </font>
    <font>
      <b/>
      <u/>
      <sz val="10"/>
      <color rgb="FF000000"/>
      <name val="Arial"/>
      <family val="2"/>
    </font>
    <font>
      <b/>
      <sz val="10"/>
      <color rgb="FF000000"/>
      <name val="Arial"/>
      <family val="2"/>
    </font>
    <font>
      <b/>
      <sz val="20"/>
      <color theme="0"/>
      <name val="Arial"/>
      <family val="2"/>
    </font>
    <font>
      <sz val="14"/>
      <color theme="1"/>
      <name val="Arial"/>
      <family val="2"/>
      <charset val="177"/>
      <scheme val="minor"/>
    </font>
    <font>
      <sz val="12"/>
      <color theme="1"/>
      <name val="Arial"/>
      <family val="2"/>
      <charset val="177"/>
      <scheme val="minor"/>
    </font>
    <font>
      <u/>
      <sz val="8"/>
      <color theme="10"/>
      <name val="Arial"/>
      <family val="2"/>
      <charset val="177"/>
      <scheme val="minor"/>
    </font>
    <font>
      <sz val="8"/>
      <color theme="1"/>
      <name val="Arial"/>
      <family val="2"/>
      <charset val="177"/>
      <scheme val="minor"/>
    </font>
    <font>
      <sz val="10"/>
      <color theme="1"/>
      <name val="Arial"/>
      <family val="2"/>
      <charset val="177"/>
      <scheme val="minor"/>
    </font>
    <font>
      <u/>
      <sz val="10"/>
      <color theme="10"/>
      <name val="Arial"/>
      <family val="2"/>
      <charset val="177"/>
      <scheme val="minor"/>
    </font>
    <font>
      <b/>
      <sz val="40"/>
      <name val="Arial"/>
      <family val="2"/>
      <scheme val="minor"/>
    </font>
    <font>
      <sz val="40"/>
      <color rgb="FF088946"/>
      <name val="Arial"/>
      <family val="2"/>
      <scheme val="minor"/>
    </font>
    <font>
      <b/>
      <sz val="11"/>
      <color theme="2"/>
      <name val="Arial"/>
      <family val="2"/>
      <scheme val="minor"/>
    </font>
    <font>
      <sz val="11"/>
      <color rgb="FF323C4B"/>
      <name val="OpenSans"/>
    </font>
  </fonts>
  <fills count="40">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theme="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7453"/>
        <bgColor indexed="64"/>
      </patternFill>
    </fill>
    <fill>
      <patternFill patternType="solid">
        <fgColor rgb="FF00B0F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FECE0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088946"/>
        <bgColor indexed="64"/>
      </patternFill>
    </fill>
    <fill>
      <patternFill patternType="solid">
        <fgColor theme="9" tint="0.39997558519241921"/>
        <bgColor indexed="64"/>
      </patternFill>
    </fill>
    <fill>
      <patternFill patternType="solid">
        <fgColor rgb="FFFFCCCC"/>
        <bgColor indexed="64"/>
      </patternFill>
    </fill>
    <fill>
      <patternFill patternType="solid">
        <fgColor theme="3" tint="0.499984740745262"/>
        <bgColor indexed="64"/>
      </patternFill>
    </fill>
    <fill>
      <patternFill patternType="solid">
        <fgColor rgb="FF0A4928"/>
        <bgColor indexed="64"/>
      </patternFill>
    </fill>
    <fill>
      <patternFill patternType="solid">
        <fgColor rgb="FF00B050"/>
        <bgColor indexed="64"/>
      </patternFill>
    </fill>
    <fill>
      <patternFill patternType="solid">
        <fgColor theme="4" tint="0.59999389629810485"/>
        <bgColor indexed="65"/>
      </patternFill>
    </fill>
    <fill>
      <patternFill patternType="solid">
        <fgColor theme="5" tint="0.39997558519241921"/>
        <bgColor indexed="65"/>
      </patternFill>
    </fill>
    <fill>
      <patternFill patternType="solid">
        <fgColor theme="6" tint="0.59999389629810485"/>
        <bgColor indexed="65"/>
      </patternFill>
    </fill>
    <fill>
      <patternFill patternType="solid">
        <fgColor theme="7" tint="0.39997558519241921"/>
        <bgColor indexed="65"/>
      </patternFill>
    </fill>
  </fills>
  <borders count="7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bottom style="thin">
        <color indexed="64"/>
      </bottom>
      <diagonal/>
    </border>
    <border>
      <left/>
      <right style="thin">
        <color indexed="64"/>
      </right>
      <top/>
      <bottom/>
      <diagonal/>
    </border>
    <border>
      <left style="thin">
        <color indexed="64"/>
      </left>
      <right/>
      <top/>
      <bottom/>
      <diagonal/>
    </border>
    <border>
      <left style="medium">
        <color indexed="64"/>
      </left>
      <right style="medium">
        <color indexed="64"/>
      </right>
      <top style="thin">
        <color indexed="64"/>
      </top>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medium">
        <color indexed="64"/>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
      <left style="medium">
        <color indexed="64"/>
      </left>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s>
  <cellStyleXfs count="18">
    <xf numFmtId="0" fontId="0" fillId="0" borderId="0"/>
    <xf numFmtId="0" fontId="3" fillId="0" borderId="0" applyNumberFormat="0" applyFill="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10" fillId="13" borderId="0" applyNumberFormat="0" applyBorder="0" applyAlignment="0" applyProtection="0"/>
    <xf numFmtId="0" fontId="11" fillId="14" borderId="0" applyNumberFormat="0" applyBorder="0" applyAlignment="0" applyProtection="0"/>
    <xf numFmtId="0" fontId="12" fillId="15" borderId="0" applyNumberFormat="0" applyBorder="0" applyAlignment="0" applyProtection="0"/>
    <xf numFmtId="0" fontId="13" fillId="16" borderId="41" applyNumberFormat="0" applyAlignment="0" applyProtection="0"/>
    <xf numFmtId="9" fontId="9" fillId="0" borderId="0" applyFont="0" applyFill="0" applyBorder="0" applyAlignment="0" applyProtection="0"/>
    <xf numFmtId="164" fontId="9" fillId="0" borderId="0" applyFont="0" applyFill="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cellStyleXfs>
  <cellXfs count="565">
    <xf numFmtId="0" fontId="0" fillId="0" borderId="0" xfId="0"/>
    <xf numFmtId="0" fontId="0" fillId="2" borderId="0" xfId="0" applyFill="1"/>
    <xf numFmtId="16" fontId="0" fillId="0" borderId="0" xfId="0" applyNumberFormat="1"/>
    <xf numFmtId="0" fontId="0" fillId="0" borderId="4" xfId="0" applyBorder="1"/>
    <xf numFmtId="10" fontId="0" fillId="0" borderId="4" xfId="0" applyNumberFormat="1" applyBorder="1"/>
    <xf numFmtId="3" fontId="0" fillId="0" borderId="4" xfId="0" applyNumberFormat="1" applyBorder="1"/>
    <xf numFmtId="3" fontId="0" fillId="0" borderId="7" xfId="0" applyNumberFormat="1" applyBorder="1"/>
    <xf numFmtId="0" fontId="0" fillId="0" borderId="7" xfId="0" applyBorder="1"/>
    <xf numFmtId="9" fontId="0" fillId="0" borderId="7" xfId="0" applyNumberFormat="1" applyBorder="1"/>
    <xf numFmtId="10" fontId="0" fillId="0" borderId="7" xfId="0" applyNumberFormat="1" applyBorder="1"/>
    <xf numFmtId="0" fontId="0" fillId="0" borderId="8" xfId="0" applyBorder="1"/>
    <xf numFmtId="3" fontId="0" fillId="0" borderId="10" xfId="0" applyNumberFormat="1" applyBorder="1"/>
    <xf numFmtId="3" fontId="0" fillId="0" borderId="13" xfId="0" applyNumberFormat="1" applyBorder="1"/>
    <xf numFmtId="3" fontId="0" fillId="0" borderId="14" xfId="0" applyNumberFormat="1" applyBorder="1"/>
    <xf numFmtId="3" fontId="0" fillId="0" borderId="15" xfId="0" applyNumberFormat="1" applyBorder="1"/>
    <xf numFmtId="3" fontId="0" fillId="0" borderId="16" xfId="0" applyNumberFormat="1" applyBorder="1"/>
    <xf numFmtId="0" fontId="0" fillId="0" borderId="20" xfId="0" applyBorder="1"/>
    <xf numFmtId="3" fontId="0" fillId="3" borderId="14" xfId="0" applyNumberFormat="1" applyFill="1" applyBorder="1"/>
    <xf numFmtId="3" fontId="0" fillId="3" borderId="15" xfId="0" applyNumberFormat="1" applyFill="1" applyBorder="1"/>
    <xf numFmtId="3" fontId="0" fillId="4" borderId="14" xfId="0" applyNumberFormat="1" applyFill="1" applyBorder="1"/>
    <xf numFmtId="3" fontId="0" fillId="4" borderId="15" xfId="0" applyNumberFormat="1" applyFill="1" applyBorder="1"/>
    <xf numFmtId="3" fontId="0" fillId="0" borderId="21" xfId="0" applyNumberFormat="1" applyBorder="1"/>
    <xf numFmtId="3" fontId="0" fillId="3" borderId="21" xfId="0" applyNumberFormat="1" applyFill="1" applyBorder="1"/>
    <xf numFmtId="3" fontId="0" fillId="4" borderId="21" xfId="0" applyNumberFormat="1" applyFill="1" applyBorder="1"/>
    <xf numFmtId="3" fontId="0" fillId="0" borderId="20" xfId="0" applyNumberFormat="1" applyBorder="1"/>
    <xf numFmtId="10" fontId="0" fillId="0" borderId="20" xfId="0" applyNumberFormat="1" applyBorder="1"/>
    <xf numFmtId="3" fontId="0" fillId="0" borderId="23" xfId="0" applyNumberFormat="1" applyBorder="1"/>
    <xf numFmtId="3" fontId="0" fillId="0" borderId="24" xfId="0" applyNumberFormat="1" applyBorder="1"/>
    <xf numFmtId="3" fontId="0" fillId="0" borderId="0" xfId="0" applyNumberFormat="1"/>
    <xf numFmtId="0" fontId="1" fillId="0" borderId="5" xfId="0" applyFont="1" applyBorder="1"/>
    <xf numFmtId="10" fontId="1" fillId="0" borderId="5" xfId="0" applyNumberFormat="1" applyFont="1" applyBorder="1"/>
    <xf numFmtId="3" fontId="1" fillId="0" borderId="5" xfId="0" applyNumberFormat="1" applyFont="1" applyBorder="1"/>
    <xf numFmtId="3" fontId="1" fillId="0" borderId="12" xfId="0" applyNumberFormat="1" applyFont="1" applyBorder="1"/>
    <xf numFmtId="3" fontId="1" fillId="0" borderId="15" xfId="0" applyNumberFormat="1" applyFont="1" applyBorder="1"/>
    <xf numFmtId="0" fontId="3" fillId="0" borderId="0" xfId="1"/>
    <xf numFmtId="9" fontId="0" fillId="0" borderId="8" xfId="0" applyNumberFormat="1" applyBorder="1"/>
    <xf numFmtId="10" fontId="0" fillId="0" borderId="8" xfId="0" applyNumberFormat="1" applyBorder="1"/>
    <xf numFmtId="3" fontId="0" fillId="0" borderId="11" xfId="0" applyNumberFormat="1" applyBorder="1"/>
    <xf numFmtId="0" fontId="6" fillId="0" borderId="0" xfId="0" applyFont="1" applyAlignment="1">
      <alignment vertical="center" wrapText="1"/>
    </xf>
    <xf numFmtId="0" fontId="0" fillId="0" borderId="27" xfId="0" applyBorder="1" applyAlignment="1">
      <alignment vertical="center" wrapText="1"/>
    </xf>
    <xf numFmtId="14" fontId="0" fillId="0" borderId="27" xfId="0" applyNumberFormat="1" applyBorder="1" applyAlignment="1">
      <alignment vertical="center" wrapText="1"/>
    </xf>
    <xf numFmtId="0" fontId="5" fillId="0" borderId="28"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0" fillId="0" borderId="31" xfId="0" applyBorder="1" applyAlignment="1">
      <alignment vertical="center" wrapText="1"/>
    </xf>
    <xf numFmtId="0" fontId="0" fillId="0" borderId="32" xfId="0" applyBorder="1"/>
    <xf numFmtId="0" fontId="6" fillId="0" borderId="32" xfId="0" applyFont="1" applyBorder="1" applyAlignment="1">
      <alignment horizontal="center" vertical="center"/>
    </xf>
    <xf numFmtId="0" fontId="0" fillId="0" borderId="3" xfId="0" applyBorder="1" applyAlignment="1">
      <alignment vertical="center" wrapText="1"/>
    </xf>
    <xf numFmtId="0" fontId="0" fillId="0" borderId="4" xfId="0" applyBorder="1" applyAlignment="1">
      <alignment vertical="center" wrapText="1"/>
    </xf>
    <xf numFmtId="14" fontId="0" fillId="0" borderId="4" xfId="0" applyNumberFormat="1" applyBorder="1" applyAlignment="1">
      <alignment vertical="center" wrapText="1"/>
    </xf>
    <xf numFmtId="0" fontId="0" fillId="0" borderId="33" xfId="0" applyBorder="1"/>
    <xf numFmtId="0" fontId="6" fillId="0" borderId="27" xfId="0" applyFont="1" applyBorder="1" applyAlignment="1">
      <alignment horizontal="center" vertical="center" wrapText="1"/>
    </xf>
    <xf numFmtId="14" fontId="0" fillId="0" borderId="33" xfId="0" applyNumberFormat="1" applyBorder="1" applyAlignment="1">
      <alignment vertical="center" wrapText="1"/>
    </xf>
    <xf numFmtId="0" fontId="5" fillId="0" borderId="37" xfId="0" applyFont="1" applyBorder="1" applyAlignment="1">
      <alignment horizontal="center" vertical="center" wrapText="1"/>
    </xf>
    <xf numFmtId="14" fontId="0" fillId="0" borderId="38" xfId="0" applyNumberFormat="1" applyBorder="1" applyAlignment="1">
      <alignment vertical="center" wrapText="1"/>
    </xf>
    <xf numFmtId="0" fontId="5" fillId="0" borderId="14" xfId="0" applyFont="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1" fillId="3" borderId="6" xfId="0" applyFont="1" applyFill="1" applyBorder="1" applyAlignment="1">
      <alignment horizontal="right" wrapText="1"/>
    </xf>
    <xf numFmtId="0" fontId="0" fillId="3" borderId="6" xfId="0" applyFill="1" applyBorder="1" applyAlignment="1">
      <alignment horizontal="right" wrapText="1"/>
    </xf>
    <xf numFmtId="0" fontId="1" fillId="5" borderId="6" xfId="0" applyFont="1" applyFill="1" applyBorder="1" applyAlignment="1">
      <alignment horizontal="right"/>
    </xf>
    <xf numFmtId="0" fontId="0" fillId="5" borderId="25" xfId="0" applyFill="1" applyBorder="1" applyAlignment="1">
      <alignment horizontal="right"/>
    </xf>
    <xf numFmtId="0" fontId="1" fillId="2" borderId="26" xfId="0" applyFont="1" applyFill="1" applyBorder="1" applyAlignment="1">
      <alignment horizontal="right"/>
    </xf>
    <xf numFmtId="0" fontId="0" fillId="2" borderId="22" xfId="0" applyFill="1" applyBorder="1" applyAlignment="1">
      <alignment horizontal="right"/>
    </xf>
    <xf numFmtId="0" fontId="9" fillId="10" borderId="29" xfId="5" applyBorder="1"/>
    <xf numFmtId="14" fontId="9" fillId="10" borderId="30" xfId="5" applyNumberFormat="1" applyBorder="1"/>
    <xf numFmtId="0" fontId="9" fillId="10" borderId="4" xfId="5" applyBorder="1"/>
    <xf numFmtId="14" fontId="9" fillId="10" borderId="33" xfId="5" applyNumberFormat="1" applyBorder="1"/>
    <xf numFmtId="49" fontId="9" fillId="11" borderId="35" xfId="6" applyNumberFormat="1" applyBorder="1" applyAlignment="1">
      <alignment horizontal="center"/>
    </xf>
    <xf numFmtId="0" fontId="9" fillId="11" borderId="29" xfId="6" applyBorder="1"/>
    <xf numFmtId="14" fontId="9" fillId="11" borderId="30" xfId="6" applyNumberFormat="1" applyBorder="1"/>
    <xf numFmtId="49" fontId="9" fillId="11" borderId="34" xfId="6" applyNumberFormat="1" applyBorder="1" applyAlignment="1">
      <alignment horizontal="center"/>
    </xf>
    <xf numFmtId="0" fontId="9" fillId="11" borderId="4" xfId="6" applyBorder="1"/>
    <xf numFmtId="14" fontId="9" fillId="11" borderId="33" xfId="6" applyNumberFormat="1" applyBorder="1"/>
    <xf numFmtId="0" fontId="9" fillId="12" borderId="35" xfId="7" applyBorder="1"/>
    <xf numFmtId="0" fontId="9" fillId="12" borderId="29" xfId="7" applyBorder="1"/>
    <xf numFmtId="16" fontId="9" fillId="12" borderId="30" xfId="7" applyNumberFormat="1" applyBorder="1"/>
    <xf numFmtId="0" fontId="9" fillId="12" borderId="15" xfId="7" applyBorder="1"/>
    <xf numFmtId="0" fontId="9" fillId="12" borderId="36" xfId="7" applyBorder="1"/>
    <xf numFmtId="0" fontId="9" fillId="12" borderId="27" xfId="7" applyBorder="1"/>
    <xf numFmtId="3" fontId="9" fillId="12" borderId="32" xfId="7" applyNumberFormat="1" applyBorder="1"/>
    <xf numFmtId="0" fontId="9" fillId="12" borderId="16" xfId="7" applyBorder="1"/>
    <xf numFmtId="0" fontId="9" fillId="12" borderId="34" xfId="7" applyBorder="1"/>
    <xf numFmtId="0" fontId="9" fillId="12" borderId="4" xfId="7" applyBorder="1"/>
    <xf numFmtId="0" fontId="9" fillId="9" borderId="35" xfId="4" applyBorder="1"/>
    <xf numFmtId="0" fontId="9" fillId="9" borderId="29" xfId="4" applyBorder="1"/>
    <xf numFmtId="16" fontId="9" fillId="9" borderId="29" xfId="4" applyNumberFormat="1" applyBorder="1"/>
    <xf numFmtId="16" fontId="9" fillId="9" borderId="30" xfId="4" applyNumberFormat="1" applyBorder="1"/>
    <xf numFmtId="0" fontId="9" fillId="9" borderId="15" xfId="4" applyBorder="1"/>
    <xf numFmtId="0" fontId="9" fillId="9" borderId="36" xfId="4" applyBorder="1"/>
    <xf numFmtId="0" fontId="9" fillId="9" borderId="27" xfId="4" applyBorder="1"/>
    <xf numFmtId="4" fontId="9" fillId="9" borderId="27" xfId="4" applyNumberFormat="1" applyBorder="1"/>
    <xf numFmtId="4" fontId="9" fillId="9" borderId="32" xfId="4" applyNumberFormat="1" applyBorder="1"/>
    <xf numFmtId="0" fontId="9" fillId="9" borderId="16" xfId="4" applyBorder="1"/>
    <xf numFmtId="0" fontId="9" fillId="9" borderId="34" xfId="4" applyBorder="1"/>
    <xf numFmtId="0" fontId="9" fillId="9" borderId="4" xfId="4" applyBorder="1"/>
    <xf numFmtId="4" fontId="9" fillId="9" borderId="4" xfId="4" applyNumberFormat="1" applyBorder="1"/>
    <xf numFmtId="0" fontId="9" fillId="8" borderId="27" xfId="3" applyBorder="1"/>
    <xf numFmtId="0" fontId="9" fillId="8" borderId="27" xfId="3" applyBorder="1" applyAlignment="1">
      <alignment horizontal="center"/>
    </xf>
    <xf numFmtId="0" fontId="9" fillId="8" borderId="29" xfId="3" applyBorder="1"/>
    <xf numFmtId="0" fontId="9" fillId="8" borderId="29" xfId="3" applyBorder="1" applyAlignment="1">
      <alignment horizontal="center"/>
    </xf>
    <xf numFmtId="14" fontId="9" fillId="8" borderId="30" xfId="3" applyNumberFormat="1" applyBorder="1"/>
    <xf numFmtId="0" fontId="9" fillId="8" borderId="32" xfId="3" applyBorder="1"/>
    <xf numFmtId="0" fontId="9" fillId="8" borderId="4" xfId="3" applyBorder="1"/>
    <xf numFmtId="0" fontId="9" fillId="8" borderId="33" xfId="3" applyBorder="1"/>
    <xf numFmtId="49" fontId="9" fillId="10" borderId="35" xfId="5" applyNumberFormat="1" applyBorder="1" applyAlignment="1">
      <alignment horizontal="center"/>
    </xf>
    <xf numFmtId="49" fontId="9" fillId="10" borderId="34" xfId="5" applyNumberFormat="1" applyBorder="1" applyAlignment="1">
      <alignment horizontal="center"/>
    </xf>
    <xf numFmtId="3" fontId="0" fillId="3" borderId="16" xfId="0" applyNumberFormat="1" applyFill="1" applyBorder="1"/>
    <xf numFmtId="3" fontId="0" fillId="4" borderId="16" xfId="0" applyNumberFormat="1" applyFill="1" applyBorder="1"/>
    <xf numFmtId="0" fontId="8" fillId="6" borderId="39" xfId="0" applyFont="1" applyFill="1" applyBorder="1"/>
    <xf numFmtId="0" fontId="0" fillId="0" borderId="7" xfId="0" applyBorder="1" applyAlignment="1">
      <alignment horizontal="center"/>
    </xf>
    <xf numFmtId="3" fontId="0" fillId="0" borderId="10" xfId="0" applyNumberFormat="1" applyBorder="1" applyAlignment="1">
      <alignment horizontal="center"/>
    </xf>
    <xf numFmtId="0" fontId="0" fillId="0" borderId="14" xfId="0" applyBorder="1" applyAlignment="1">
      <alignment horizontal="center"/>
    </xf>
    <xf numFmtId="0" fontId="0" fillId="3" borderId="14" xfId="0" applyFill="1" applyBorder="1" applyAlignment="1">
      <alignment horizontal="center"/>
    </xf>
    <xf numFmtId="0" fontId="0" fillId="4" borderId="14" xfId="0" applyFill="1" applyBorder="1" applyAlignment="1">
      <alignment horizontal="center"/>
    </xf>
    <xf numFmtId="0" fontId="0" fillId="0" borderId="17" xfId="0" applyBorder="1"/>
    <xf numFmtId="3" fontId="0" fillId="0" borderId="18" xfId="0" applyNumberFormat="1" applyBorder="1"/>
    <xf numFmtId="0" fontId="2" fillId="2" borderId="25" xfId="0" applyFont="1" applyFill="1" applyBorder="1" applyAlignment="1">
      <alignment horizontal="right"/>
    </xf>
    <xf numFmtId="3" fontId="0" fillId="0" borderId="19" xfId="0" applyNumberFormat="1" applyBorder="1"/>
    <xf numFmtId="49" fontId="9" fillId="8" borderId="35" xfId="3" applyNumberFormat="1" applyBorder="1" applyAlignment="1">
      <alignment horizontal="center"/>
    </xf>
    <xf numFmtId="49" fontId="9" fillId="8" borderId="36" xfId="3" applyNumberFormat="1" applyBorder="1" applyAlignment="1">
      <alignment horizontal="center"/>
    </xf>
    <xf numFmtId="0" fontId="0" fillId="0" borderId="0" xfId="0" applyAlignment="1">
      <alignment horizontal="center" vertical="center" wrapText="1"/>
    </xf>
    <xf numFmtId="0" fontId="0" fillId="0" borderId="0" xfId="0" applyAlignment="1">
      <alignment vertical="center" wrapText="1"/>
    </xf>
    <xf numFmtId="0" fontId="6" fillId="0" borderId="0" xfId="0" applyFont="1" applyAlignment="1">
      <alignment vertical="center"/>
    </xf>
    <xf numFmtId="0" fontId="9" fillId="12" borderId="21" xfId="7" applyBorder="1"/>
    <xf numFmtId="0" fontId="9" fillId="12" borderId="5" xfId="7" applyBorder="1"/>
    <xf numFmtId="0" fontId="9" fillId="12" borderId="40" xfId="7" applyNumberFormat="1" applyBorder="1"/>
    <xf numFmtId="0" fontId="0" fillId="0" borderId="27" xfId="0" applyBorder="1"/>
    <xf numFmtId="0" fontId="0" fillId="0" borderId="28" xfId="0" applyBorder="1" applyAlignment="1">
      <alignment vertical="center" wrapText="1"/>
    </xf>
    <xf numFmtId="0" fontId="0" fillId="0" borderId="29" xfId="0" applyBorder="1" applyAlignment="1">
      <alignment vertical="center" wrapText="1"/>
    </xf>
    <xf numFmtId="0" fontId="0" fillId="0" borderId="29" xfId="0" applyBorder="1"/>
    <xf numFmtId="0" fontId="0" fillId="0" borderId="30" xfId="0" applyBorder="1"/>
    <xf numFmtId="0" fontId="0" fillId="0" borderId="0" xfId="0" applyAlignment="1">
      <alignment wrapText="1"/>
    </xf>
    <xf numFmtId="0" fontId="5"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0" fillId="0" borderId="0" xfId="0" applyAlignment="1">
      <alignment horizontal="right" indent="4"/>
    </xf>
    <xf numFmtId="16" fontId="0" fillId="0" borderId="27" xfId="0" applyNumberFormat="1" applyBorder="1"/>
    <xf numFmtId="0" fontId="0" fillId="0" borderId="32" xfId="0" applyBorder="1" applyAlignment="1">
      <alignment horizontal="right" indent="4"/>
    </xf>
    <xf numFmtId="0" fontId="0" fillId="0" borderId="36" xfId="0" applyBorder="1"/>
    <xf numFmtId="0" fontId="0" fillId="0" borderId="34" xfId="0" applyBorder="1"/>
    <xf numFmtId="0" fontId="0" fillId="0" borderId="15" xfId="0" applyBorder="1"/>
    <xf numFmtId="0" fontId="0" fillId="0" borderId="16" xfId="0" applyBorder="1"/>
    <xf numFmtId="3" fontId="0" fillId="0" borderId="6" xfId="0" applyNumberFormat="1" applyBorder="1"/>
    <xf numFmtId="3" fontId="0" fillId="0" borderId="47" xfId="0" applyNumberFormat="1" applyBorder="1"/>
    <xf numFmtId="3" fontId="0" fillId="0" borderId="48" xfId="0" applyNumberFormat="1" applyBorder="1"/>
    <xf numFmtId="3" fontId="0" fillId="0" borderId="28" xfId="0" applyNumberFormat="1" applyBorder="1"/>
    <xf numFmtId="3" fontId="0" fillId="0" borderId="29" xfId="0" applyNumberFormat="1" applyBorder="1"/>
    <xf numFmtId="3" fontId="0" fillId="0" borderId="30" xfId="0" applyNumberFormat="1" applyBorder="1"/>
    <xf numFmtId="3" fontId="0" fillId="18" borderId="30" xfId="0" applyNumberFormat="1" applyFill="1" applyBorder="1"/>
    <xf numFmtId="14" fontId="0" fillId="0" borderId="31" xfId="0" applyNumberFormat="1" applyBorder="1"/>
    <xf numFmtId="3" fontId="0" fillId="0" borderId="27" xfId="0" applyNumberFormat="1" applyBorder="1"/>
    <xf numFmtId="3" fontId="0" fillId="0" borderId="32" xfId="0" applyNumberFormat="1" applyBorder="1"/>
    <xf numFmtId="3" fontId="0" fillId="0" borderId="31" xfId="0" applyNumberFormat="1" applyBorder="1"/>
    <xf numFmtId="3" fontId="0" fillId="18" borderId="32" xfId="0" applyNumberFormat="1" applyFill="1" applyBorder="1"/>
    <xf numFmtId="3" fontId="0" fillId="19" borderId="3" xfId="0" applyNumberFormat="1" applyFill="1" applyBorder="1"/>
    <xf numFmtId="3" fontId="14" fillId="19" borderId="33" xfId="8" applyNumberFormat="1" applyFont="1" applyFill="1" applyBorder="1"/>
    <xf numFmtId="3" fontId="0" fillId="19" borderId="15" xfId="0" applyNumberFormat="1" applyFill="1" applyBorder="1"/>
    <xf numFmtId="3" fontId="0" fillId="19" borderId="16" xfId="0" applyNumberFormat="1" applyFill="1" applyBorder="1"/>
    <xf numFmtId="3" fontId="0" fillId="0" borderId="49" xfId="0" applyNumberFormat="1" applyBorder="1"/>
    <xf numFmtId="3" fontId="0" fillId="0" borderId="27" xfId="0" applyNumberFormat="1" applyBorder="1" applyAlignment="1">
      <alignment horizontal="right"/>
    </xf>
    <xf numFmtId="3" fontId="0" fillId="0" borderId="32" xfId="0" applyNumberFormat="1" applyBorder="1" applyAlignment="1">
      <alignment horizontal="right"/>
    </xf>
    <xf numFmtId="3" fontId="0" fillId="0" borderId="50" xfId="0" applyNumberFormat="1" applyBorder="1"/>
    <xf numFmtId="3" fontId="0" fillId="0" borderId="51" xfId="0" applyNumberFormat="1" applyBorder="1" applyAlignment="1">
      <alignment horizontal="right"/>
    </xf>
    <xf numFmtId="3" fontId="0" fillId="0" borderId="52" xfId="0" applyNumberFormat="1" applyBorder="1" applyAlignment="1">
      <alignment horizontal="right"/>
    </xf>
    <xf numFmtId="3" fontId="0" fillId="0" borderId="53" xfId="0" applyNumberFormat="1" applyBorder="1"/>
    <xf numFmtId="3" fontId="0" fillId="0" borderId="55" xfId="0" applyNumberFormat="1" applyBorder="1"/>
    <xf numFmtId="3" fontId="0" fillId="21" borderId="6" xfId="0" applyNumberFormat="1" applyFill="1" applyBorder="1"/>
    <xf numFmtId="3" fontId="0" fillId="0" borderId="56" xfId="0" applyNumberFormat="1" applyBorder="1"/>
    <xf numFmtId="3" fontId="11" fillId="0" borderId="43" xfId="9" applyNumberFormat="1" applyFill="1" applyBorder="1"/>
    <xf numFmtId="3" fontId="11" fillId="14" borderId="0" xfId="9" applyNumberFormat="1"/>
    <xf numFmtId="3" fontId="0" fillId="0" borderId="57" xfId="0" applyNumberFormat="1" applyBorder="1"/>
    <xf numFmtId="3" fontId="0" fillId="0" borderId="17" xfId="0" applyNumberFormat="1" applyBorder="1"/>
    <xf numFmtId="3" fontId="12" fillId="15" borderId="57" xfId="10" applyNumberFormat="1" applyBorder="1"/>
    <xf numFmtId="3" fontId="12" fillId="15" borderId="58" xfId="10" applyNumberFormat="1" applyBorder="1"/>
    <xf numFmtId="3" fontId="12" fillId="15" borderId="1" xfId="10" applyNumberFormat="1" applyBorder="1" applyAlignment="1">
      <alignment horizontal="center" vertical="center"/>
    </xf>
    <xf numFmtId="3" fontId="0" fillId="0" borderId="1" xfId="0" applyNumberFormat="1" applyBorder="1"/>
    <xf numFmtId="14" fontId="0" fillId="0" borderId="44" xfId="0" applyNumberFormat="1" applyBorder="1"/>
    <xf numFmtId="14" fontId="0" fillId="0" borderId="23" xfId="0" applyNumberFormat="1" applyBorder="1"/>
    <xf numFmtId="3" fontId="10" fillId="13" borderId="6" xfId="8" applyNumberFormat="1" applyBorder="1"/>
    <xf numFmtId="3" fontId="12" fillId="15" borderId="2" xfId="10" applyNumberFormat="1" applyBorder="1" applyAlignment="1">
      <alignment horizontal="center" vertical="center"/>
    </xf>
    <xf numFmtId="14" fontId="0" fillId="0" borderId="2" xfId="0" applyNumberFormat="1" applyBorder="1"/>
    <xf numFmtId="3" fontId="0" fillId="0" borderId="1" xfId="0" applyNumberFormat="1" applyBorder="1" applyAlignment="1">
      <alignment horizontal="center" vertical="center"/>
    </xf>
    <xf numFmtId="3" fontId="10" fillId="13" borderId="28" xfId="8" applyNumberFormat="1" applyBorder="1"/>
    <xf numFmtId="3" fontId="0" fillId="0" borderId="9" xfId="0" applyNumberFormat="1" applyBorder="1" applyAlignment="1">
      <alignment horizontal="center" vertical="center"/>
    </xf>
    <xf numFmtId="3" fontId="0" fillId="0" borderId="59" xfId="0" applyNumberFormat="1" applyBorder="1"/>
    <xf numFmtId="3" fontId="10" fillId="13" borderId="31" xfId="8" applyNumberFormat="1" applyBorder="1"/>
    <xf numFmtId="3" fontId="0" fillId="2" borderId="31" xfId="0" applyNumberFormat="1" applyFill="1" applyBorder="1"/>
    <xf numFmtId="3" fontId="0" fillId="2" borderId="32" xfId="0" applyNumberFormat="1" applyFill="1" applyBorder="1"/>
    <xf numFmtId="3" fontId="0" fillId="0" borderId="2" xfId="0" applyNumberFormat="1" applyBorder="1" applyAlignment="1">
      <alignment horizontal="center" vertical="center"/>
    </xf>
    <xf numFmtId="3" fontId="0" fillId="2" borderId="60" xfId="0" applyNumberFormat="1" applyFill="1" applyBorder="1"/>
    <xf numFmtId="3" fontId="0" fillId="2" borderId="61" xfId="0" applyNumberFormat="1" applyFill="1" applyBorder="1"/>
    <xf numFmtId="3" fontId="0" fillId="0" borderId="31" xfId="0" applyNumberFormat="1" applyBorder="1" applyAlignment="1">
      <alignment horizontal="right" wrapText="1"/>
    </xf>
    <xf numFmtId="3" fontId="0" fillId="21" borderId="28" xfId="0" applyNumberFormat="1" applyFill="1" applyBorder="1"/>
    <xf numFmtId="3" fontId="0" fillId="21" borderId="30" xfId="0" applyNumberFormat="1" applyFill="1" applyBorder="1"/>
    <xf numFmtId="3" fontId="0" fillId="22" borderId="27" xfId="0" applyNumberFormat="1" applyFill="1" applyBorder="1"/>
    <xf numFmtId="3" fontId="0" fillId="0" borderId="62" xfId="0" applyNumberFormat="1" applyBorder="1"/>
    <xf numFmtId="3" fontId="0" fillId="0" borderId="52" xfId="0" applyNumberFormat="1" applyBorder="1"/>
    <xf numFmtId="3" fontId="0" fillId="21" borderId="56" xfId="0" applyNumberFormat="1" applyFill="1" applyBorder="1"/>
    <xf numFmtId="3" fontId="0" fillId="2" borderId="27" xfId="0" applyNumberFormat="1" applyFill="1" applyBorder="1"/>
    <xf numFmtId="3" fontId="0" fillId="2" borderId="63" xfId="0" applyNumberFormat="1" applyFill="1" applyBorder="1"/>
    <xf numFmtId="3" fontId="0" fillId="2" borderId="18" xfId="0" applyNumberFormat="1" applyFill="1" applyBorder="1"/>
    <xf numFmtId="3" fontId="10" fillId="21" borderId="3" xfId="8" applyNumberFormat="1" applyFill="1" applyBorder="1"/>
    <xf numFmtId="3" fontId="13" fillId="16" borderId="33" xfId="11" applyNumberFormat="1" applyBorder="1"/>
    <xf numFmtId="3" fontId="0" fillId="0" borderId="3" xfId="0" applyNumberFormat="1" applyBorder="1"/>
    <xf numFmtId="3" fontId="0" fillId="0" borderId="33" xfId="0" applyNumberFormat="1" applyBorder="1"/>
    <xf numFmtId="3" fontId="0" fillId="0" borderId="3" xfId="0" applyNumberFormat="1" applyBorder="1" applyAlignment="1">
      <alignment horizontal="right" wrapText="1"/>
    </xf>
    <xf numFmtId="3" fontId="12" fillId="15" borderId="0" xfId="10" applyNumberFormat="1"/>
    <xf numFmtId="3" fontId="10" fillId="13" borderId="44" xfId="8" applyNumberFormat="1" applyBorder="1"/>
    <xf numFmtId="3" fontId="0" fillId="0" borderId="44" xfId="0" applyNumberFormat="1" applyBorder="1"/>
    <xf numFmtId="3" fontId="0" fillId="0" borderId="46" xfId="0" applyNumberFormat="1" applyBorder="1" applyAlignment="1">
      <alignment horizontal="center"/>
    </xf>
    <xf numFmtId="3" fontId="0" fillId="0" borderId="61" xfId="0" applyNumberFormat="1" applyBorder="1"/>
    <xf numFmtId="3" fontId="10" fillId="13" borderId="59" xfId="8" applyNumberFormat="1" applyBorder="1"/>
    <xf numFmtId="3" fontId="0" fillId="0" borderId="64" xfId="0" applyNumberFormat="1" applyBorder="1"/>
    <xf numFmtId="3" fontId="0" fillId="0" borderId="26" xfId="0" applyNumberFormat="1" applyBorder="1"/>
    <xf numFmtId="14" fontId="0" fillId="0" borderId="40" xfId="0" applyNumberFormat="1" applyBorder="1"/>
    <xf numFmtId="3" fontId="0" fillId="0" borderId="36" xfId="0" applyNumberFormat="1" applyBorder="1"/>
    <xf numFmtId="14" fontId="0" fillId="0" borderId="32" xfId="0" applyNumberFormat="1" applyBorder="1"/>
    <xf numFmtId="3" fontId="0" fillId="0" borderId="9" xfId="0" applyNumberFormat="1" applyBorder="1"/>
    <xf numFmtId="3" fontId="0" fillId="0" borderId="34" xfId="0" applyNumberFormat="1" applyBorder="1"/>
    <xf numFmtId="3" fontId="10" fillId="13" borderId="65" xfId="8" applyNumberFormat="1" applyBorder="1"/>
    <xf numFmtId="3" fontId="0" fillId="0" borderId="65" xfId="0" applyNumberFormat="1" applyBorder="1"/>
    <xf numFmtId="3" fontId="10" fillId="13" borderId="60" xfId="8" applyNumberFormat="1" applyBorder="1"/>
    <xf numFmtId="3" fontId="0" fillId="0" borderId="60" xfId="0" applyNumberFormat="1" applyBorder="1"/>
    <xf numFmtId="3" fontId="0" fillId="3" borderId="28" xfId="0" applyNumberFormat="1" applyFill="1" applyBorder="1"/>
    <xf numFmtId="3" fontId="0" fillId="3" borderId="30" xfId="0" applyNumberFormat="1" applyFill="1" applyBorder="1"/>
    <xf numFmtId="3" fontId="0" fillId="0" borderId="0" xfId="0" applyNumberFormat="1" applyAlignment="1">
      <alignment horizontal="center" vertical="center" wrapText="1"/>
    </xf>
    <xf numFmtId="3" fontId="0" fillId="3" borderId="31" xfId="0" applyNumberFormat="1" applyFill="1" applyBorder="1"/>
    <xf numFmtId="3" fontId="0" fillId="3" borderId="32" xfId="0" applyNumberFormat="1" applyFill="1" applyBorder="1"/>
    <xf numFmtId="3" fontId="0" fillId="0" borderId="0" xfId="0" applyNumberFormat="1" applyAlignment="1">
      <alignment horizontal="right" wrapText="1"/>
    </xf>
    <xf numFmtId="3" fontId="0" fillId="3" borderId="3" xfId="0" applyNumberFormat="1" applyFill="1" applyBorder="1"/>
    <xf numFmtId="3" fontId="0" fillId="3" borderId="33" xfId="0" applyNumberFormat="1" applyFill="1" applyBorder="1"/>
    <xf numFmtId="0" fontId="1" fillId="0" borderId="0" xfId="0" applyFont="1"/>
    <xf numFmtId="14" fontId="0" fillId="0" borderId="0" xfId="0" applyNumberFormat="1"/>
    <xf numFmtId="165" fontId="0" fillId="0" borderId="0" xfId="0" applyNumberFormat="1"/>
    <xf numFmtId="166" fontId="0" fillId="0" borderId="0" xfId="0" applyNumberFormat="1"/>
    <xf numFmtId="3" fontId="1" fillId="0" borderId="0" xfId="0" applyNumberFormat="1" applyFont="1"/>
    <xf numFmtId="0" fontId="9" fillId="8" borderId="34" xfId="3" applyBorder="1" applyAlignment="1">
      <alignment horizontal="center" vertical="center"/>
    </xf>
    <xf numFmtId="0" fontId="9" fillId="7" borderId="39" xfId="2" applyBorder="1" applyAlignment="1">
      <alignment horizontal="center" vertical="center"/>
    </xf>
    <xf numFmtId="0" fontId="9" fillId="7" borderId="7" xfId="2" applyBorder="1"/>
    <xf numFmtId="14" fontId="9" fillId="7" borderId="56" xfId="2" applyNumberFormat="1" applyBorder="1"/>
    <xf numFmtId="0" fontId="9" fillId="9" borderId="44" xfId="4" applyBorder="1" applyAlignment="1">
      <alignment horizontal="center"/>
    </xf>
    <xf numFmtId="0" fontId="9" fillId="9" borderId="45" xfId="4" applyBorder="1" applyAlignment="1">
      <alignment horizontal="center"/>
    </xf>
    <xf numFmtId="0" fontId="9" fillId="9" borderId="46" xfId="4" applyBorder="1" applyAlignment="1">
      <alignment horizontal="center"/>
    </xf>
    <xf numFmtId="0" fontId="8" fillId="2" borderId="22" xfId="0" applyFont="1" applyFill="1" applyBorder="1" applyAlignment="1">
      <alignment horizontal="right"/>
    </xf>
    <xf numFmtId="0" fontId="0" fillId="12" borderId="26" xfId="7" applyFont="1" applyBorder="1"/>
    <xf numFmtId="0" fontId="6" fillId="7" borderId="43" xfId="2" applyFont="1" applyBorder="1" applyAlignment="1">
      <alignment horizontal="center" vertical="center"/>
    </xf>
    <xf numFmtId="0" fontId="6" fillId="12" borderId="14" xfId="7" applyFont="1" applyBorder="1"/>
    <xf numFmtId="0" fontId="6" fillId="9" borderId="14" xfId="4" applyFont="1" applyBorder="1"/>
    <xf numFmtId="3" fontId="9" fillId="12" borderId="33" xfId="7" applyNumberFormat="1" applyBorder="1"/>
    <xf numFmtId="4" fontId="9" fillId="9" borderId="33" xfId="4" applyNumberFormat="1" applyBorder="1"/>
    <xf numFmtId="16" fontId="6" fillId="0" borderId="0" xfId="0" applyNumberFormat="1" applyFont="1"/>
    <xf numFmtId="0" fontId="20" fillId="28" borderId="69" xfId="0" applyFont="1" applyFill="1" applyBorder="1" applyAlignment="1">
      <alignment horizontal="center" vertical="center" wrapText="1" readingOrder="2"/>
    </xf>
    <xf numFmtId="10" fontId="21" fillId="29" borderId="69" xfId="0" applyNumberFormat="1" applyFont="1" applyFill="1" applyBorder="1" applyAlignment="1">
      <alignment horizontal="center" vertical="center" readingOrder="2"/>
    </xf>
    <xf numFmtId="0" fontId="21" fillId="29" borderId="69" xfId="0" applyFont="1" applyFill="1" applyBorder="1" applyAlignment="1">
      <alignment horizontal="center" vertical="center" readingOrder="2"/>
    </xf>
    <xf numFmtId="0" fontId="25" fillId="26" borderId="47" xfId="0" applyFont="1" applyFill="1" applyBorder="1" applyAlignment="1">
      <alignment vertical="center"/>
    </xf>
    <xf numFmtId="167" fontId="26" fillId="26" borderId="55" xfId="13" applyNumberFormat="1" applyFont="1" applyFill="1" applyBorder="1" applyAlignment="1">
      <alignment vertical="center"/>
    </xf>
    <xf numFmtId="167" fontId="26" fillId="26" borderId="55" xfId="13" applyNumberFormat="1" applyFont="1" applyFill="1" applyBorder="1" applyAlignment="1">
      <alignment horizontal="center" vertical="center"/>
    </xf>
    <xf numFmtId="0" fontId="25" fillId="27" borderId="62" xfId="0" applyFont="1" applyFill="1" applyBorder="1" applyAlignment="1">
      <alignment vertical="center"/>
    </xf>
    <xf numFmtId="167" fontId="26" fillId="27" borderId="51" xfId="13" applyNumberFormat="1" applyFont="1" applyFill="1" applyBorder="1" applyAlignment="1">
      <alignment vertical="center"/>
    </xf>
    <xf numFmtId="167" fontId="26" fillId="27" borderId="51" xfId="13" applyNumberFormat="1" applyFont="1" applyFill="1" applyBorder="1" applyAlignment="1">
      <alignment horizontal="center" vertical="center"/>
    </xf>
    <xf numFmtId="0" fontId="25" fillId="24" borderId="62" xfId="0" applyFont="1" applyFill="1" applyBorder="1" applyAlignment="1">
      <alignment vertical="center"/>
    </xf>
    <xf numFmtId="167" fontId="26" fillId="24" borderId="51" xfId="13" applyNumberFormat="1" applyFont="1" applyFill="1" applyBorder="1" applyAlignment="1">
      <alignment vertical="center"/>
    </xf>
    <xf numFmtId="167" fontId="26" fillId="24" borderId="51" xfId="13" applyNumberFormat="1" applyFont="1" applyFill="1" applyBorder="1" applyAlignment="1">
      <alignment horizontal="center" vertical="center"/>
    </xf>
    <xf numFmtId="0" fontId="25" fillId="26" borderId="62" xfId="0" applyFont="1" applyFill="1" applyBorder="1" applyAlignment="1">
      <alignment vertical="center"/>
    </xf>
    <xf numFmtId="167" fontId="26" fillId="26" borderId="51" xfId="13" applyNumberFormat="1" applyFont="1" applyFill="1" applyBorder="1" applyAlignment="1">
      <alignment vertical="center"/>
    </xf>
    <xf numFmtId="167" fontId="26" fillId="26" borderId="51" xfId="13" applyNumberFormat="1" applyFont="1" applyFill="1" applyBorder="1" applyAlignment="1">
      <alignment horizontal="center" vertical="center"/>
    </xf>
    <xf numFmtId="9" fontId="18" fillId="25" borderId="27" xfId="12" applyFont="1" applyFill="1" applyBorder="1" applyAlignment="1">
      <alignment horizontal="center" vertical="center"/>
    </xf>
    <xf numFmtId="167" fontId="21" fillId="29" borderId="69" xfId="0" applyNumberFormat="1" applyFont="1" applyFill="1" applyBorder="1" applyAlignment="1">
      <alignment horizontal="center" vertical="center" readingOrder="2"/>
    </xf>
    <xf numFmtId="167" fontId="18" fillId="4" borderId="27" xfId="0" applyNumberFormat="1" applyFont="1" applyFill="1" applyBorder="1" applyAlignment="1">
      <alignment horizontal="center"/>
    </xf>
    <xf numFmtId="0" fontId="17" fillId="24" borderId="27" xfId="0" applyFont="1" applyFill="1" applyBorder="1" applyAlignment="1">
      <alignment horizontal="center" vertical="center"/>
    </xf>
    <xf numFmtId="0" fontId="33" fillId="0" borderId="27" xfId="0" applyFont="1" applyBorder="1" applyAlignment="1">
      <alignment horizontal="center" vertical="center"/>
    </xf>
    <xf numFmtId="0" fontId="33" fillId="31" borderId="27" xfId="0" applyFont="1" applyFill="1" applyBorder="1" applyAlignment="1">
      <alignment horizontal="center" vertical="center"/>
    </xf>
    <xf numFmtId="0" fontId="33" fillId="27" borderId="27" xfId="0" applyFont="1" applyFill="1" applyBorder="1" applyAlignment="1">
      <alignment horizontal="center" vertical="center"/>
    </xf>
    <xf numFmtId="0" fontId="33" fillId="20" borderId="27" xfId="0" applyFont="1" applyFill="1" applyBorder="1" applyAlignment="1">
      <alignment horizontal="center" vertical="center"/>
    </xf>
    <xf numFmtId="0" fontId="0" fillId="0" borderId="27" xfId="0" applyBorder="1" applyAlignment="1">
      <alignment horizontal="center" vertical="center" wrapText="1"/>
    </xf>
    <xf numFmtId="0" fontId="0" fillId="5" borderId="6" xfId="0" applyFill="1" applyBorder="1" applyAlignment="1">
      <alignment horizontal="right"/>
    </xf>
    <xf numFmtId="0" fontId="6" fillId="0" borderId="1" xfId="0" applyFont="1" applyBorder="1" applyAlignment="1">
      <alignment vertical="center"/>
    </xf>
    <xf numFmtId="0" fontId="6" fillId="0" borderId="2" xfId="0" applyFont="1" applyBorder="1" applyAlignment="1">
      <alignment vertical="center"/>
    </xf>
    <xf numFmtId="169" fontId="0" fillId="0" borderId="0" xfId="0" applyNumberFormat="1"/>
    <xf numFmtId="0" fontId="0" fillId="2" borderId="27" xfId="0" applyFill="1" applyBorder="1" applyAlignment="1">
      <alignment horizontal="right"/>
    </xf>
    <xf numFmtId="0" fontId="0" fillId="2" borderId="29" xfId="0" applyFill="1" applyBorder="1" applyAlignment="1">
      <alignment horizontal="right"/>
    </xf>
    <xf numFmtId="0" fontId="1" fillId="0" borderId="29" xfId="0" applyFont="1" applyBorder="1"/>
    <xf numFmtId="0" fontId="0" fillId="2" borderId="4" xfId="0" applyFill="1" applyBorder="1" applyAlignment="1">
      <alignment horizontal="right"/>
    </xf>
    <xf numFmtId="0" fontId="0" fillId="0" borderId="56" xfId="0" applyBorder="1"/>
    <xf numFmtId="9" fontId="17" fillId="25" borderId="27" xfId="12" applyFont="1" applyFill="1" applyBorder="1" applyAlignment="1">
      <alignment horizontal="center" vertical="center"/>
    </xf>
    <xf numFmtId="0" fontId="23" fillId="18" borderId="27" xfId="0" applyFont="1" applyFill="1" applyBorder="1" applyAlignment="1">
      <alignment horizontal="center" vertical="center"/>
    </xf>
    <xf numFmtId="169" fontId="8" fillId="25" borderId="27" xfId="13" applyNumberFormat="1" applyFont="1" applyFill="1" applyBorder="1" applyAlignment="1">
      <alignment horizontal="center" vertical="center"/>
    </xf>
    <xf numFmtId="169" fontId="8" fillId="18" borderId="27" xfId="0" applyNumberFormat="1" applyFont="1" applyFill="1" applyBorder="1" applyAlignment="1">
      <alignment horizontal="center" vertical="center"/>
    </xf>
    <xf numFmtId="0" fontId="23" fillId="18" borderId="27" xfId="0" applyFont="1" applyFill="1" applyBorder="1" applyAlignment="1">
      <alignment horizontal="center" vertical="center" wrapText="1"/>
    </xf>
    <xf numFmtId="0" fontId="23" fillId="18" borderId="27" xfId="0" applyFont="1" applyFill="1" applyBorder="1" applyAlignment="1">
      <alignment horizontal="center"/>
    </xf>
    <xf numFmtId="169" fontId="41" fillId="33" borderId="27" xfId="13" applyNumberFormat="1" applyFont="1" applyFill="1" applyBorder="1" applyAlignment="1">
      <alignment horizontal="center"/>
    </xf>
    <xf numFmtId="169" fontId="41" fillId="33" borderId="27" xfId="0" applyNumberFormat="1" applyFont="1" applyFill="1" applyBorder="1" applyAlignment="1">
      <alignment horizontal="center"/>
    </xf>
    <xf numFmtId="0" fontId="6" fillId="2" borderId="27" xfId="0" applyFont="1" applyFill="1" applyBorder="1" applyAlignment="1">
      <alignment horizontal="center" vertical="center" wrapText="1"/>
    </xf>
    <xf numFmtId="9" fontId="6" fillId="25" borderId="27" xfId="12" applyFont="1" applyFill="1" applyBorder="1" applyAlignment="1">
      <alignment horizontal="center" vertical="center" wrapText="1"/>
    </xf>
    <xf numFmtId="0" fontId="6" fillId="2" borderId="27" xfId="0" applyFont="1" applyFill="1" applyBorder="1" applyAlignment="1">
      <alignment horizontal="center" vertical="center"/>
    </xf>
    <xf numFmtId="0" fontId="6" fillId="35" borderId="27" xfId="0" applyFont="1" applyFill="1" applyBorder="1" applyAlignment="1">
      <alignment horizontal="center" vertical="center"/>
    </xf>
    <xf numFmtId="9" fontId="0" fillId="35" borderId="27" xfId="12" applyFont="1" applyFill="1" applyBorder="1" applyAlignment="1">
      <alignment horizontal="center" vertical="center"/>
    </xf>
    <xf numFmtId="169" fontId="0" fillId="2" borderId="27" xfId="0" applyNumberFormat="1" applyFill="1" applyBorder="1" applyAlignment="1">
      <alignment horizontal="center" vertical="center"/>
    </xf>
    <xf numFmtId="169" fontId="6" fillId="25" borderId="27" xfId="13" applyNumberFormat="1" applyFont="1" applyFill="1" applyBorder="1" applyAlignment="1">
      <alignment horizontal="center" vertical="center" wrapText="1"/>
    </xf>
    <xf numFmtId="0" fontId="0" fillId="4" borderId="0" xfId="0" applyFill="1"/>
    <xf numFmtId="169" fontId="41" fillId="5" borderId="27" xfId="0" applyNumberFormat="1" applyFont="1" applyFill="1" applyBorder="1" applyAlignment="1">
      <alignment horizontal="center" vertical="center"/>
    </xf>
    <xf numFmtId="0" fontId="0" fillId="0" borderId="5" xfId="0" applyBorder="1" applyAlignment="1">
      <alignment wrapText="1"/>
    </xf>
    <xf numFmtId="0" fontId="9" fillId="10" borderId="29" xfId="5" applyBorder="1" applyAlignment="1">
      <alignment horizontal="right"/>
    </xf>
    <xf numFmtId="0" fontId="0" fillId="0" borderId="62" xfId="0" applyBorder="1" applyAlignment="1">
      <alignment vertical="center" wrapText="1"/>
    </xf>
    <xf numFmtId="0" fontId="0" fillId="0" borderId="51" xfId="0" applyBorder="1"/>
    <xf numFmtId="0" fontId="0" fillId="0" borderId="37" xfId="0" applyBorder="1"/>
    <xf numFmtId="0" fontId="0" fillId="0" borderId="13" xfId="0" applyBorder="1"/>
    <xf numFmtId="0" fontId="0" fillId="0" borderId="12" xfId="0" applyBorder="1"/>
    <xf numFmtId="0" fontId="0" fillId="0" borderId="38" xfId="0" applyBorder="1"/>
    <xf numFmtId="0" fontId="0" fillId="0" borderId="48" xfId="0" applyBorder="1"/>
    <xf numFmtId="0" fontId="0" fillId="0" borderId="66" xfId="0" applyBorder="1"/>
    <xf numFmtId="0" fontId="0" fillId="0" borderId="43" xfId="0" applyBorder="1"/>
    <xf numFmtId="16" fontId="9" fillId="9" borderId="37" xfId="4" applyNumberFormat="1" applyBorder="1"/>
    <xf numFmtId="4" fontId="9" fillId="9" borderId="40" xfId="4" applyNumberFormat="1" applyBorder="1"/>
    <xf numFmtId="16" fontId="9" fillId="9" borderId="43" xfId="4" applyNumberFormat="1" applyBorder="1"/>
    <xf numFmtId="0" fontId="8" fillId="6" borderId="6" xfId="0" applyFont="1" applyFill="1" applyBorder="1"/>
    <xf numFmtId="0" fontId="8" fillId="2" borderId="54" xfId="0" applyFont="1" applyFill="1" applyBorder="1" applyAlignment="1">
      <alignment horizontal="right"/>
    </xf>
    <xf numFmtId="0" fontId="0" fillId="2" borderId="73" xfId="0" applyFill="1" applyBorder="1" applyAlignment="1">
      <alignment horizontal="right"/>
    </xf>
    <xf numFmtId="3" fontId="0" fillId="0" borderId="8" xfId="0" applyNumberFormat="1" applyBorder="1"/>
    <xf numFmtId="0" fontId="9" fillId="12" borderId="37" xfId="7" applyBorder="1"/>
    <xf numFmtId="3" fontId="9" fillId="12" borderId="40" xfId="7" applyNumberFormat="1" applyBorder="1"/>
    <xf numFmtId="16" fontId="9" fillId="12" borderId="43" xfId="7" applyNumberFormat="1" applyBorder="1"/>
    <xf numFmtId="3" fontId="9" fillId="12" borderId="30" xfId="7" applyNumberFormat="1" applyBorder="1"/>
    <xf numFmtId="0" fontId="0" fillId="0" borderId="8" xfId="0" applyBorder="1" applyAlignment="1">
      <alignment horizontal="right" vertical="center"/>
    </xf>
    <xf numFmtId="0" fontId="0" fillId="0" borderId="20" xfId="0" applyBorder="1" applyAlignment="1">
      <alignment horizontal="right"/>
    </xf>
    <xf numFmtId="14" fontId="0" fillId="0" borderId="3" xfId="0" applyNumberFormat="1" applyBorder="1" applyAlignment="1">
      <alignment horizontal="right" vertical="center"/>
    </xf>
    <xf numFmtId="0" fontId="0" fillId="0" borderId="4" xfId="0" applyBorder="1" applyAlignment="1">
      <alignment horizontal="right" vertical="center"/>
    </xf>
    <xf numFmtId="0" fontId="0" fillId="0" borderId="27" xfId="0" applyBorder="1" applyAlignment="1">
      <alignment horizontal="right" vertical="center"/>
    </xf>
    <xf numFmtId="14" fontId="0" fillId="0" borderId="31" xfId="0" applyNumberFormat="1" applyBorder="1" applyAlignment="1">
      <alignment horizontal="right" vertical="center"/>
    </xf>
    <xf numFmtId="0" fontId="42" fillId="0" borderId="4" xfId="0" applyFont="1" applyBorder="1" applyAlignment="1">
      <alignment horizontal="right" vertical="center"/>
    </xf>
    <xf numFmtId="0" fontId="0" fillId="0" borderId="32" xfId="0" applyBorder="1" applyAlignment="1">
      <alignment horizontal="center" vertical="center"/>
    </xf>
    <xf numFmtId="0" fontId="0" fillId="0" borderId="33" xfId="0" applyBorder="1" applyAlignment="1">
      <alignment horizontal="center" vertical="center"/>
    </xf>
    <xf numFmtId="14" fontId="0" fillId="0" borderId="76" xfId="0" applyNumberFormat="1" applyBorder="1" applyAlignment="1">
      <alignment horizontal="right" vertical="center"/>
    </xf>
    <xf numFmtId="0" fontId="0" fillId="0" borderId="5" xfId="0" applyBorder="1" applyAlignment="1">
      <alignment horizontal="right" vertical="center"/>
    </xf>
    <xf numFmtId="0" fontId="0" fillId="0" borderId="40" xfId="0" applyBorder="1" applyAlignment="1">
      <alignment horizontal="center" vertical="center"/>
    </xf>
    <xf numFmtId="0" fontId="34" fillId="0" borderId="6" xfId="0" applyFont="1" applyBorder="1" applyAlignment="1">
      <alignment horizontal="center"/>
    </xf>
    <xf numFmtId="0" fontId="34" fillId="0" borderId="7" xfId="0" applyFont="1" applyBorder="1" applyAlignment="1">
      <alignment horizontal="center" vertical="center"/>
    </xf>
    <xf numFmtId="0" fontId="34" fillId="0" borderId="7" xfId="0" applyFont="1" applyBorder="1" applyAlignment="1">
      <alignment horizontal="center"/>
    </xf>
    <xf numFmtId="0" fontId="34" fillId="0" borderId="56" xfId="0" applyFont="1" applyBorder="1" applyAlignment="1">
      <alignment horizontal="center"/>
    </xf>
    <xf numFmtId="44" fontId="0" fillId="0" borderId="0" xfId="0" applyNumberFormat="1"/>
    <xf numFmtId="0" fontId="9" fillId="36" borderId="15" xfId="14" applyBorder="1"/>
    <xf numFmtId="0" fontId="9" fillId="36" borderId="36" xfId="14" applyBorder="1"/>
    <xf numFmtId="16" fontId="9" fillId="36" borderId="27" xfId="14" applyNumberFormat="1" applyBorder="1"/>
    <xf numFmtId="0" fontId="9" fillId="36" borderId="32" xfId="14" applyBorder="1" applyAlignment="1">
      <alignment horizontal="right" indent="4"/>
    </xf>
    <xf numFmtId="0" fontId="9" fillId="10" borderId="15" xfId="5" applyBorder="1"/>
    <xf numFmtId="0" fontId="9" fillId="10" borderId="36" xfId="5" applyBorder="1"/>
    <xf numFmtId="16" fontId="9" fillId="10" borderId="27" xfId="5" applyNumberFormat="1" applyBorder="1"/>
    <xf numFmtId="0" fontId="9" fillId="10" borderId="32" xfId="5" applyBorder="1" applyAlignment="1">
      <alignment horizontal="right" indent="4"/>
    </xf>
    <xf numFmtId="16" fontId="9" fillId="12" borderId="27" xfId="7" applyNumberFormat="1" applyBorder="1"/>
    <xf numFmtId="0" fontId="9" fillId="12" borderId="32" xfId="7" applyBorder="1" applyAlignment="1">
      <alignment horizontal="right" indent="4"/>
    </xf>
    <xf numFmtId="0" fontId="9" fillId="37" borderId="15" xfId="15" applyBorder="1"/>
    <xf numFmtId="0" fontId="9" fillId="37" borderId="36" xfId="15" applyBorder="1"/>
    <xf numFmtId="16" fontId="9" fillId="37" borderId="27" xfId="15" applyNumberFormat="1" applyBorder="1"/>
    <xf numFmtId="0" fontId="9" fillId="37" borderId="32" xfId="15" applyBorder="1" applyAlignment="1">
      <alignment horizontal="right" indent="4"/>
    </xf>
    <xf numFmtId="0" fontId="9" fillId="39" borderId="15" xfId="17" applyBorder="1"/>
    <xf numFmtId="0" fontId="9" fillId="39" borderId="36" xfId="17" applyBorder="1"/>
    <xf numFmtId="16" fontId="9" fillId="39" borderId="27" xfId="17" applyNumberFormat="1" applyBorder="1"/>
    <xf numFmtId="0" fontId="9" fillId="39" borderId="32" xfId="17" applyBorder="1" applyAlignment="1">
      <alignment horizontal="right" indent="4"/>
    </xf>
    <xf numFmtId="0" fontId="9" fillId="38" borderId="24" xfId="16" applyBorder="1"/>
    <xf numFmtId="0" fontId="9" fillId="38" borderId="68" xfId="16" applyBorder="1"/>
    <xf numFmtId="16" fontId="9" fillId="38" borderId="51" xfId="16" applyNumberFormat="1" applyBorder="1"/>
    <xf numFmtId="0" fontId="9" fillId="38" borderId="52" xfId="16" applyBorder="1" applyAlignment="1">
      <alignment horizontal="right" indent="4"/>
    </xf>
    <xf numFmtId="3" fontId="14" fillId="20" borderId="15" xfId="9" applyNumberFormat="1" applyFont="1" applyFill="1" applyBorder="1"/>
    <xf numFmtId="3" fontId="0" fillId="0" borderId="71" xfId="0" applyNumberFormat="1" applyBorder="1"/>
    <xf numFmtId="3" fontId="0" fillId="17" borderId="44" xfId="0" applyNumberFormat="1" applyFill="1" applyBorder="1"/>
    <xf numFmtId="3" fontId="0" fillId="17" borderId="59" xfId="0" applyNumberFormat="1" applyFill="1" applyBorder="1"/>
    <xf numFmtId="3" fontId="14" fillId="20" borderId="59" xfId="9" applyNumberFormat="1" applyFont="1" applyFill="1" applyBorder="1"/>
    <xf numFmtId="3" fontId="0" fillId="19" borderId="59" xfId="0" applyNumberFormat="1" applyFill="1" applyBorder="1"/>
    <xf numFmtId="3" fontId="0" fillId="19" borderId="77" xfId="0" applyNumberFormat="1" applyFill="1" applyBorder="1"/>
    <xf numFmtId="0" fontId="0" fillId="0" borderId="27" xfId="0" applyBorder="1" applyAlignment="1">
      <alignment horizontal="center" vertical="center"/>
    </xf>
    <xf numFmtId="0" fontId="0" fillId="0" borderId="31" xfId="0" applyBorder="1" applyAlignment="1">
      <alignment horizontal="right"/>
    </xf>
    <xf numFmtId="0" fontId="0" fillId="0" borderId="3" xfId="0" applyBorder="1"/>
    <xf numFmtId="0" fontId="0" fillId="0" borderId="5" xfId="0" applyBorder="1"/>
    <xf numFmtId="0" fontId="0" fillId="0" borderId="40" xfId="0" applyBorder="1"/>
    <xf numFmtId="0" fontId="0" fillId="0" borderId="76" xfId="0" applyBorder="1" applyAlignment="1">
      <alignment horizontal="right"/>
    </xf>
    <xf numFmtId="0" fontId="0" fillId="0" borderId="6" xfId="0" applyBorder="1"/>
    <xf numFmtId="16" fontId="0" fillId="0" borderId="7" xfId="0" applyNumberFormat="1" applyBorder="1"/>
    <xf numFmtId="16" fontId="0" fillId="0" borderId="10" xfId="0" applyNumberFormat="1" applyBorder="1"/>
    <xf numFmtId="16" fontId="0" fillId="0" borderId="12" xfId="0" applyNumberFormat="1" applyBorder="1"/>
    <xf numFmtId="16" fontId="0" fillId="0" borderId="38" xfId="0" applyNumberFormat="1" applyBorder="1"/>
    <xf numFmtId="16" fontId="0" fillId="0" borderId="6" xfId="0" applyNumberFormat="1" applyBorder="1"/>
    <xf numFmtId="0" fontId="0" fillId="0" borderId="76" xfId="0" applyBorder="1"/>
    <xf numFmtId="0" fontId="0" fillId="0" borderId="31" xfId="0" applyBorder="1"/>
    <xf numFmtId="0" fontId="0" fillId="0" borderId="14" xfId="0" applyBorder="1"/>
    <xf numFmtId="0" fontId="0" fillId="0" borderId="21" xfId="0" applyBorder="1"/>
    <xf numFmtId="0" fontId="0" fillId="0" borderId="2" xfId="0" applyBorder="1"/>
    <xf numFmtId="0" fontId="0" fillId="0" borderId="62" xfId="0" applyBorder="1" applyAlignment="1">
      <alignment horizontal="right"/>
    </xf>
    <xf numFmtId="0" fontId="0" fillId="0" borderId="62" xfId="0" applyBorder="1"/>
    <xf numFmtId="0" fontId="0" fillId="0" borderId="52" xfId="0" applyBorder="1"/>
    <xf numFmtId="0" fontId="0" fillId="0" borderId="9" xfId="0" applyBorder="1"/>
    <xf numFmtId="16" fontId="0" fillId="0" borderId="56" xfId="0" applyNumberFormat="1" applyBorder="1"/>
    <xf numFmtId="0" fontId="6" fillId="11" borderId="1" xfId="6" applyFont="1" applyBorder="1" applyAlignment="1">
      <alignment horizontal="center" vertical="center"/>
    </xf>
    <xf numFmtId="0" fontId="6" fillId="11" borderId="2" xfId="6" applyFont="1" applyBorder="1" applyAlignment="1">
      <alignment horizontal="center" vertical="center"/>
    </xf>
    <xf numFmtId="0" fontId="0" fillId="2" borderId="0" xfId="0" applyFill="1" applyAlignment="1">
      <alignment horizontal="center"/>
    </xf>
    <xf numFmtId="0" fontId="6" fillId="0" borderId="1" xfId="0" applyFont="1" applyBorder="1" applyAlignment="1">
      <alignment horizontal="center" vertical="center"/>
    </xf>
    <xf numFmtId="0" fontId="6" fillId="0" borderId="9" xfId="0" applyFont="1" applyBorder="1" applyAlignment="1">
      <alignment horizontal="center" vertical="center"/>
    </xf>
    <xf numFmtId="0" fontId="6" fillId="0" borderId="2" xfId="0" applyFont="1" applyBorder="1" applyAlignment="1">
      <alignment horizontal="center" vertical="center"/>
    </xf>
    <xf numFmtId="0" fontId="6" fillId="8" borderId="1" xfId="3" applyFont="1" applyBorder="1" applyAlignment="1">
      <alignment horizontal="center" vertical="center"/>
    </xf>
    <xf numFmtId="0" fontId="6" fillId="8" borderId="9" xfId="3" applyFont="1" applyBorder="1" applyAlignment="1">
      <alignment horizontal="center" vertical="center"/>
    </xf>
    <xf numFmtId="0" fontId="6" fillId="8" borderId="2" xfId="3" applyFont="1" applyBorder="1" applyAlignment="1">
      <alignment horizontal="center" vertical="center"/>
    </xf>
    <xf numFmtId="0" fontId="6" fillId="10" borderId="1" xfId="5" applyFont="1" applyBorder="1" applyAlignment="1">
      <alignment horizontal="center" vertical="center"/>
    </xf>
    <xf numFmtId="0" fontId="6" fillId="10" borderId="2" xfId="5" applyFont="1" applyBorder="1" applyAlignment="1">
      <alignment horizontal="center" vertical="center"/>
    </xf>
    <xf numFmtId="0" fontId="0" fillId="0" borderId="14" xfId="0" applyBorder="1" applyAlignment="1">
      <alignment horizontal="center" vertical="center" wrapText="1"/>
    </xf>
    <xf numFmtId="0" fontId="0" fillId="0" borderId="16"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6" fillId="0" borderId="28" xfId="0" applyFont="1" applyBorder="1" applyAlignment="1">
      <alignment horizontal="center" vertical="center"/>
    </xf>
    <xf numFmtId="0" fontId="6" fillId="0" borderId="31" xfId="0" applyFont="1" applyBorder="1" applyAlignment="1">
      <alignment horizontal="center" vertical="center"/>
    </xf>
    <xf numFmtId="0" fontId="6" fillId="0" borderId="3" xfId="0" applyFont="1" applyBorder="1" applyAlignment="1">
      <alignment horizontal="center" vertical="center"/>
    </xf>
    <xf numFmtId="3" fontId="0" fillId="0" borderId="57" xfId="0" applyNumberFormat="1" applyBorder="1" applyAlignment="1">
      <alignment horizontal="center"/>
    </xf>
    <xf numFmtId="3" fontId="0" fillId="0" borderId="58" xfId="0" applyNumberFormat="1" applyBorder="1" applyAlignment="1">
      <alignment horizontal="center"/>
    </xf>
    <xf numFmtId="3" fontId="0" fillId="0" borderId="17" xfId="0" applyNumberFormat="1" applyBorder="1" applyAlignment="1">
      <alignment horizontal="center"/>
    </xf>
    <xf numFmtId="10" fontId="18" fillId="25" borderId="27" xfId="12" applyNumberFormat="1" applyFont="1" applyFill="1" applyBorder="1" applyAlignment="1">
      <alignment horizontal="center" vertical="center"/>
    </xf>
    <xf numFmtId="167" fontId="18" fillId="25" borderId="27" xfId="0" applyNumberFormat="1" applyFont="1" applyFill="1" applyBorder="1" applyAlignment="1">
      <alignment horizontal="center"/>
    </xf>
    <xf numFmtId="0" fontId="18" fillId="25" borderId="31" xfId="0" applyFont="1" applyFill="1" applyBorder="1" applyAlignment="1">
      <alignment horizontal="center"/>
    </xf>
    <xf numFmtId="0" fontId="18" fillId="25" borderId="27" xfId="0" applyFont="1" applyFill="1" applyBorder="1" applyAlignment="1">
      <alignment horizontal="center"/>
    </xf>
    <xf numFmtId="0" fontId="18" fillId="5" borderId="31" xfId="0" applyFont="1" applyFill="1" applyBorder="1" applyAlignment="1">
      <alignment horizontal="center" vertical="center"/>
    </xf>
    <xf numFmtId="0" fontId="18" fillId="5" borderId="27" xfId="0" applyFont="1" applyFill="1" applyBorder="1" applyAlignment="1">
      <alignment horizontal="center" vertical="center"/>
    </xf>
    <xf numFmtId="0" fontId="16" fillId="23" borderId="57" xfId="0" applyFont="1" applyFill="1" applyBorder="1" applyAlignment="1">
      <alignment horizontal="center" vertical="center"/>
    </xf>
    <xf numFmtId="0" fontId="16" fillId="23" borderId="58" xfId="0" applyFont="1" applyFill="1" applyBorder="1" applyAlignment="1">
      <alignment horizontal="center" vertical="center"/>
    </xf>
    <xf numFmtId="0" fontId="16" fillId="23" borderId="63" xfId="0" applyFont="1" applyFill="1" applyBorder="1" applyAlignment="1">
      <alignment horizontal="center" vertical="center"/>
    </xf>
    <xf numFmtId="0" fontId="16" fillId="23" borderId="0" xfId="0" applyFont="1" applyFill="1" applyAlignment="1">
      <alignment horizontal="center" vertical="center"/>
    </xf>
    <xf numFmtId="0" fontId="16" fillId="23" borderId="75" xfId="0" applyFont="1" applyFill="1" applyBorder="1" applyAlignment="1">
      <alignment horizontal="center" vertical="center"/>
    </xf>
    <xf numFmtId="0" fontId="16" fillId="23" borderId="42" xfId="0" applyFont="1" applyFill="1" applyBorder="1" applyAlignment="1">
      <alignment horizontal="center" vertical="center"/>
    </xf>
    <xf numFmtId="44" fontId="19" fillId="26" borderId="27" xfId="0" applyNumberFormat="1" applyFont="1" applyFill="1" applyBorder="1" applyAlignment="1">
      <alignment horizontal="center" vertical="center"/>
    </xf>
    <xf numFmtId="167" fontId="19" fillId="27" borderId="27" xfId="0" applyNumberFormat="1" applyFont="1" applyFill="1" applyBorder="1" applyAlignment="1">
      <alignment horizontal="center" vertical="center"/>
    </xf>
    <xf numFmtId="167" fontId="19" fillId="26" borderId="27" xfId="0" applyNumberFormat="1" applyFont="1" applyFill="1" applyBorder="1" applyAlignment="1">
      <alignment horizontal="center" vertical="center"/>
    </xf>
    <xf numFmtId="0" fontId="19" fillId="26" borderId="31" xfId="0" applyFont="1" applyFill="1" applyBorder="1" applyAlignment="1">
      <alignment horizontal="center" vertical="center"/>
    </xf>
    <xf numFmtId="0" fontId="19" fillId="26" borderId="27" xfId="0" applyFont="1" applyFill="1" applyBorder="1" applyAlignment="1">
      <alignment horizontal="center" vertical="center"/>
    </xf>
    <xf numFmtId="0" fontId="17" fillId="24" borderId="31" xfId="0" applyFont="1" applyFill="1" applyBorder="1" applyAlignment="1">
      <alignment horizontal="center" vertical="center"/>
    </xf>
    <xf numFmtId="0" fontId="17" fillId="24" borderId="27" xfId="0" applyFont="1" applyFill="1" applyBorder="1" applyAlignment="1">
      <alignment horizontal="center" vertical="center"/>
    </xf>
    <xf numFmtId="0" fontId="19" fillId="27" borderId="31" xfId="0" applyFont="1" applyFill="1" applyBorder="1" applyAlignment="1">
      <alignment horizontal="center" vertical="center"/>
    </xf>
    <xf numFmtId="0" fontId="19" fillId="27" borderId="27" xfId="0" applyFont="1" applyFill="1" applyBorder="1" applyAlignment="1">
      <alignment horizontal="center" vertical="center"/>
    </xf>
    <xf numFmtId="0" fontId="19" fillId="27" borderId="3" xfId="0" applyFont="1" applyFill="1" applyBorder="1" applyAlignment="1">
      <alignment horizontal="center" vertical="center"/>
    </xf>
    <xf numFmtId="0" fontId="19" fillId="27" borderId="4" xfId="0" applyFont="1" applyFill="1" applyBorder="1" applyAlignment="1">
      <alignment horizontal="center" vertical="center"/>
    </xf>
    <xf numFmtId="10" fontId="18" fillId="25" borderId="4" xfId="12" applyNumberFormat="1" applyFont="1" applyFill="1" applyBorder="1" applyAlignment="1">
      <alignment horizontal="center" vertical="center"/>
    </xf>
    <xf numFmtId="44" fontId="19" fillId="26" borderId="4" xfId="0" applyNumberFormat="1" applyFont="1" applyFill="1" applyBorder="1" applyAlignment="1">
      <alignment horizontal="center" vertical="center"/>
    </xf>
    <xf numFmtId="167" fontId="19" fillId="27" borderId="4" xfId="0" applyNumberFormat="1" applyFont="1" applyFill="1" applyBorder="1" applyAlignment="1">
      <alignment horizontal="center" vertical="center"/>
    </xf>
    <xf numFmtId="0" fontId="37" fillId="0" borderId="38" xfId="0" applyFont="1" applyBorder="1" applyAlignment="1">
      <alignment horizontal="center" vertical="center" wrapText="1"/>
    </xf>
    <xf numFmtId="0" fontId="37" fillId="0" borderId="36" xfId="0" applyFont="1" applyBorder="1" applyAlignment="1">
      <alignment horizontal="center" vertical="center" wrapText="1"/>
    </xf>
    <xf numFmtId="0" fontId="33" fillId="0" borderId="38" xfId="0" applyFont="1" applyBorder="1" applyAlignment="1">
      <alignment horizontal="center" vertical="center"/>
    </xf>
    <xf numFmtId="0" fontId="33" fillId="0" borderId="36" xfId="0" applyFont="1" applyBorder="1" applyAlignment="1">
      <alignment horizontal="center" vertical="center"/>
    </xf>
    <xf numFmtId="10" fontId="33" fillId="0" borderId="38" xfId="0" applyNumberFormat="1" applyFont="1" applyBorder="1" applyAlignment="1">
      <alignment horizontal="center" vertical="center"/>
    </xf>
    <xf numFmtId="10" fontId="33" fillId="0" borderId="36" xfId="0" applyNumberFormat="1" applyFont="1" applyBorder="1" applyAlignment="1">
      <alignment horizontal="center" vertical="center"/>
    </xf>
    <xf numFmtId="0" fontId="0" fillId="0" borderId="38" xfId="0" applyBorder="1" applyAlignment="1">
      <alignment horizontal="center" vertical="center" wrapText="1" readingOrder="2"/>
    </xf>
    <xf numFmtId="0" fontId="0" fillId="0" borderId="36" xfId="0" applyBorder="1" applyAlignment="1">
      <alignment horizontal="center" vertical="center" wrapText="1" readingOrder="2"/>
    </xf>
    <xf numFmtId="0" fontId="34" fillId="0" borderId="38" xfId="0" applyFont="1" applyBorder="1" applyAlignment="1">
      <alignment horizontal="center" vertical="center" wrapText="1"/>
    </xf>
    <xf numFmtId="0" fontId="34" fillId="0" borderId="36" xfId="0" applyFont="1" applyBorder="1" applyAlignment="1">
      <alignment horizontal="center" vertical="center" wrapText="1"/>
    </xf>
    <xf numFmtId="0" fontId="33" fillId="0" borderId="27" xfId="0" applyFont="1" applyBorder="1" applyAlignment="1">
      <alignment horizontal="center" vertical="center"/>
    </xf>
    <xf numFmtId="0" fontId="0" fillId="0" borderId="27" xfId="0" applyBorder="1" applyAlignment="1">
      <alignment horizontal="center" vertical="center" wrapText="1"/>
    </xf>
    <xf numFmtId="0" fontId="34" fillId="0" borderId="27" xfId="0" applyFont="1" applyBorder="1" applyAlignment="1">
      <alignment horizontal="center" vertical="center"/>
    </xf>
    <xf numFmtId="10" fontId="33" fillId="0" borderId="27" xfId="0" applyNumberFormat="1" applyFont="1" applyBorder="1" applyAlignment="1">
      <alignment horizontal="center" vertical="center"/>
    </xf>
    <xf numFmtId="0" fontId="34" fillId="0" borderId="27" xfId="0" applyFont="1" applyBorder="1" applyAlignment="1">
      <alignment horizontal="center" vertical="center" wrapText="1"/>
    </xf>
    <xf numFmtId="0" fontId="0" fillId="0" borderId="38" xfId="0" applyBorder="1" applyAlignment="1">
      <alignment horizontal="center" vertical="center" wrapText="1"/>
    </xf>
    <xf numFmtId="0" fontId="0" fillId="0" borderId="36" xfId="0" applyBorder="1" applyAlignment="1">
      <alignment horizontal="center" vertical="center" wrapText="1"/>
    </xf>
    <xf numFmtId="0" fontId="33" fillId="19" borderId="27" xfId="0" applyFont="1" applyFill="1" applyBorder="1" applyAlignment="1">
      <alignment horizontal="center" vertical="center"/>
    </xf>
    <xf numFmtId="0" fontId="0" fillId="19" borderId="27" xfId="0" applyFill="1" applyBorder="1" applyAlignment="1">
      <alignment horizontal="center" vertical="center" wrapText="1"/>
    </xf>
    <xf numFmtId="0" fontId="34" fillId="19" borderId="27" xfId="0" applyFont="1" applyFill="1" applyBorder="1" applyAlignment="1">
      <alignment horizontal="center" vertical="center" wrapText="1"/>
    </xf>
    <xf numFmtId="168" fontId="33" fillId="19" borderId="27" xfId="0" applyNumberFormat="1" applyFont="1" applyFill="1" applyBorder="1" applyAlignment="1">
      <alignment horizontal="center" vertical="center"/>
    </xf>
    <xf numFmtId="0" fontId="0" fillId="19" borderId="38" xfId="0" applyFill="1" applyBorder="1" applyAlignment="1">
      <alignment horizontal="center" vertical="center" wrapText="1"/>
    </xf>
    <xf numFmtId="0" fontId="0" fillId="19" borderId="36" xfId="0" applyFill="1" applyBorder="1" applyAlignment="1">
      <alignment horizontal="center" vertical="center" wrapText="1"/>
    </xf>
    <xf numFmtId="0" fontId="34" fillId="19" borderId="38" xfId="0" applyFont="1" applyFill="1" applyBorder="1" applyAlignment="1">
      <alignment horizontal="center" vertical="center" wrapText="1"/>
    </xf>
    <xf numFmtId="0" fontId="34" fillId="19" borderId="36" xfId="0" applyFont="1" applyFill="1" applyBorder="1" applyAlignment="1">
      <alignment horizontal="center" vertical="center" wrapText="1"/>
    </xf>
    <xf numFmtId="0" fontId="33" fillId="19" borderId="38" xfId="0" applyFont="1" applyFill="1" applyBorder="1" applyAlignment="1">
      <alignment horizontal="center" vertical="center"/>
    </xf>
    <xf numFmtId="0" fontId="33" fillId="19" borderId="36" xfId="0" applyFont="1" applyFill="1" applyBorder="1" applyAlignment="1">
      <alignment horizontal="center" vertical="center"/>
    </xf>
    <xf numFmtId="168" fontId="33" fillId="19" borderId="38" xfId="0" applyNumberFormat="1" applyFont="1" applyFill="1" applyBorder="1" applyAlignment="1">
      <alignment horizontal="center" vertical="center"/>
    </xf>
    <xf numFmtId="168" fontId="33" fillId="19" borderId="36" xfId="0" applyNumberFormat="1" applyFont="1" applyFill="1" applyBorder="1" applyAlignment="1">
      <alignment horizontal="center" vertical="center"/>
    </xf>
    <xf numFmtId="0" fontId="35" fillId="0" borderId="27" xfId="1" applyFont="1" applyBorder="1" applyAlignment="1">
      <alignment horizontal="center" vertical="center" wrapText="1"/>
    </xf>
    <xf numFmtId="0" fontId="36" fillId="0" borderId="27" xfId="0" applyFont="1" applyBorder="1" applyAlignment="1">
      <alignment horizontal="center" vertical="center" wrapText="1"/>
    </xf>
    <xf numFmtId="0" fontId="35" fillId="0" borderId="38" xfId="1" applyFont="1" applyBorder="1" applyAlignment="1">
      <alignment horizontal="center" vertical="center" wrapText="1"/>
    </xf>
    <xf numFmtId="0" fontId="35" fillId="0" borderId="36" xfId="1" applyFont="1" applyBorder="1" applyAlignment="1">
      <alignment horizontal="center" vertical="center" wrapText="1"/>
    </xf>
    <xf numFmtId="0" fontId="0" fillId="32" borderId="27" xfId="0" applyFill="1" applyBorder="1" applyAlignment="1">
      <alignment horizontal="center" vertical="center"/>
    </xf>
    <xf numFmtId="0" fontId="3" fillId="32" borderId="27" xfId="1" applyFill="1" applyBorder="1" applyAlignment="1">
      <alignment horizontal="center" vertical="center"/>
    </xf>
    <xf numFmtId="0" fontId="38" fillId="32" borderId="27" xfId="1" applyFont="1" applyFill="1" applyBorder="1" applyAlignment="1">
      <alignment horizontal="center" vertical="center"/>
    </xf>
    <xf numFmtId="0" fontId="37" fillId="32" borderId="27" xfId="0" applyFont="1" applyFill="1" applyBorder="1" applyAlignment="1">
      <alignment horizontal="center" vertical="center"/>
    </xf>
    <xf numFmtId="0" fontId="33" fillId="32" borderId="27" xfId="0" applyFont="1" applyFill="1" applyBorder="1" applyAlignment="1">
      <alignment horizontal="center" vertical="center"/>
    </xf>
    <xf numFmtId="0" fontId="29" fillId="3" borderId="0" xfId="0" applyFont="1" applyFill="1" applyAlignment="1">
      <alignment horizontal="center" vertical="center" wrapText="1"/>
    </xf>
    <xf numFmtId="0" fontId="32" fillId="30" borderId="0" xfId="0" applyFont="1" applyFill="1" applyAlignment="1">
      <alignment horizontal="center" vertical="center" wrapText="1"/>
    </xf>
    <xf numFmtId="0" fontId="16" fillId="23" borderId="17" xfId="0" applyFont="1" applyFill="1" applyBorder="1" applyAlignment="1">
      <alignment horizontal="center" vertical="center"/>
    </xf>
    <xf numFmtId="0" fontId="16" fillId="23" borderId="18" xfId="0" applyFont="1" applyFill="1" applyBorder="1" applyAlignment="1">
      <alignment horizontal="center" vertical="center"/>
    </xf>
    <xf numFmtId="0" fontId="16" fillId="23" borderId="70" xfId="0" applyFont="1" applyFill="1" applyBorder="1" applyAlignment="1">
      <alignment horizontal="center" vertical="center"/>
    </xf>
    <xf numFmtId="0" fontId="16" fillId="23" borderId="53" xfId="0" applyFont="1" applyFill="1" applyBorder="1" applyAlignment="1">
      <alignment horizontal="center" vertical="center"/>
    </xf>
    <xf numFmtId="0" fontId="16" fillId="23" borderId="19" xfId="0" applyFont="1" applyFill="1" applyBorder="1" applyAlignment="1">
      <alignment horizontal="center" vertical="center"/>
    </xf>
    <xf numFmtId="0" fontId="22" fillId="25" borderId="47" xfId="0" applyFont="1" applyFill="1" applyBorder="1" applyAlignment="1">
      <alignment horizontal="center" vertical="center"/>
    </xf>
    <xf numFmtId="0" fontId="22" fillId="25" borderId="73" xfId="0" applyFont="1" applyFill="1" applyBorder="1" applyAlignment="1">
      <alignment horizontal="center" vertical="center"/>
    </xf>
    <xf numFmtId="0" fontId="22" fillId="25" borderId="55" xfId="0" applyFont="1" applyFill="1" applyBorder="1" applyAlignment="1">
      <alignment horizontal="center" vertical="center"/>
    </xf>
    <xf numFmtId="0" fontId="22" fillId="25" borderId="8" xfId="0" applyFont="1" applyFill="1" applyBorder="1" applyAlignment="1">
      <alignment horizontal="center" vertical="center"/>
    </xf>
    <xf numFmtId="0" fontId="23" fillId="25" borderId="71" xfId="0" applyFont="1" applyFill="1" applyBorder="1" applyAlignment="1">
      <alignment horizontal="center" vertical="center"/>
    </xf>
    <xf numFmtId="0" fontId="23" fillId="25" borderId="72" xfId="0" applyFont="1" applyFill="1" applyBorder="1" applyAlignment="1">
      <alignment horizontal="center" vertical="center"/>
    </xf>
    <xf numFmtId="0" fontId="23" fillId="25" borderId="11" xfId="0" applyFont="1" applyFill="1" applyBorder="1" applyAlignment="1">
      <alignment horizontal="center" vertical="center"/>
    </xf>
    <xf numFmtId="0" fontId="23" fillId="25" borderId="25" xfId="0" applyFont="1" applyFill="1" applyBorder="1" applyAlignment="1">
      <alignment horizontal="center" vertical="center"/>
    </xf>
    <xf numFmtId="0" fontId="22" fillId="25" borderId="57" xfId="0" applyFont="1" applyFill="1" applyBorder="1" applyAlignment="1">
      <alignment horizontal="center" vertical="center"/>
    </xf>
    <xf numFmtId="0" fontId="22" fillId="25" borderId="17" xfId="0" applyFont="1" applyFill="1" applyBorder="1" applyAlignment="1">
      <alignment horizontal="center" vertical="center"/>
    </xf>
    <xf numFmtId="0" fontId="22" fillId="25" borderId="70" xfId="0" applyFont="1" applyFill="1" applyBorder="1" applyAlignment="1">
      <alignment horizontal="center" vertical="center"/>
    </xf>
    <xf numFmtId="0" fontId="22" fillId="25" borderId="19" xfId="0" applyFont="1" applyFill="1" applyBorder="1" applyAlignment="1">
      <alignment horizontal="center" vertical="center"/>
    </xf>
    <xf numFmtId="0" fontId="24" fillId="25" borderId="57" xfId="0" applyFont="1" applyFill="1" applyBorder="1" applyAlignment="1">
      <alignment horizontal="center" vertical="center"/>
    </xf>
    <xf numFmtId="0" fontId="24" fillId="25" borderId="58" xfId="0" applyFont="1" applyFill="1" applyBorder="1" applyAlignment="1">
      <alignment horizontal="center" vertical="center"/>
    </xf>
    <xf numFmtId="0" fontId="24" fillId="25" borderId="17" xfId="0" applyFont="1" applyFill="1" applyBorder="1" applyAlignment="1">
      <alignment horizontal="center" vertical="center"/>
    </xf>
    <xf numFmtId="0" fontId="24" fillId="25" borderId="70" xfId="0" applyFont="1" applyFill="1" applyBorder="1" applyAlignment="1">
      <alignment horizontal="center" vertical="center"/>
    </xf>
    <xf numFmtId="0" fontId="24" fillId="25" borderId="53" xfId="0" applyFont="1" applyFill="1" applyBorder="1" applyAlignment="1">
      <alignment horizontal="center" vertical="center"/>
    </xf>
    <xf numFmtId="0" fontId="24" fillId="25" borderId="19" xfId="0" applyFont="1" applyFill="1" applyBorder="1" applyAlignment="1">
      <alignment horizontal="center" vertical="center"/>
    </xf>
    <xf numFmtId="10" fontId="26" fillId="26" borderId="37" xfId="12" applyNumberFormat="1" applyFont="1" applyFill="1" applyBorder="1" applyAlignment="1">
      <alignment horizontal="center" vertical="center"/>
    </xf>
    <xf numFmtId="10" fontId="26" fillId="26" borderId="35" xfId="12" applyNumberFormat="1" applyFont="1" applyFill="1" applyBorder="1" applyAlignment="1">
      <alignment horizontal="center" vertical="center"/>
    </xf>
    <xf numFmtId="10" fontId="26" fillId="26" borderId="37" xfId="0" applyNumberFormat="1" applyFont="1" applyFill="1" applyBorder="1" applyAlignment="1">
      <alignment horizontal="center" vertical="center"/>
    </xf>
    <xf numFmtId="10" fontId="26" fillId="26" borderId="35" xfId="0" applyNumberFormat="1" applyFont="1" applyFill="1" applyBorder="1" applyAlignment="1">
      <alignment horizontal="center" vertical="center"/>
    </xf>
    <xf numFmtId="0" fontId="26" fillId="26" borderId="37" xfId="13" applyNumberFormat="1" applyFont="1" applyFill="1" applyBorder="1" applyAlignment="1">
      <alignment horizontal="center" vertical="center"/>
    </xf>
    <xf numFmtId="0" fontId="26" fillId="26" borderId="35" xfId="13" applyNumberFormat="1" applyFont="1" applyFill="1" applyBorder="1" applyAlignment="1">
      <alignment horizontal="center" vertical="center"/>
    </xf>
    <xf numFmtId="0" fontId="26" fillId="26" borderId="45" xfId="13" applyNumberFormat="1" applyFont="1" applyFill="1" applyBorder="1" applyAlignment="1">
      <alignment horizontal="center" vertical="center"/>
    </xf>
    <xf numFmtId="0" fontId="26" fillId="26" borderId="46" xfId="13" applyNumberFormat="1" applyFont="1" applyFill="1" applyBorder="1" applyAlignment="1">
      <alignment horizontal="center" vertical="center"/>
    </xf>
    <xf numFmtId="10" fontId="26" fillId="27" borderId="66" xfId="12" applyNumberFormat="1" applyFont="1" applyFill="1" applyBorder="1" applyAlignment="1">
      <alignment horizontal="center" vertical="center"/>
    </xf>
    <xf numFmtId="10" fontId="26" fillId="27" borderId="68" xfId="12" applyNumberFormat="1" applyFont="1" applyFill="1" applyBorder="1" applyAlignment="1">
      <alignment horizontal="center" vertical="center"/>
    </xf>
    <xf numFmtId="9" fontId="26" fillId="27" borderId="66" xfId="0" applyNumberFormat="1" applyFont="1" applyFill="1" applyBorder="1" applyAlignment="1">
      <alignment horizontal="center" vertical="center"/>
    </xf>
    <xf numFmtId="9" fontId="26" fillId="27" borderId="68" xfId="0" applyNumberFormat="1" applyFont="1" applyFill="1" applyBorder="1" applyAlignment="1">
      <alignment horizontal="center" vertical="center"/>
    </xf>
    <xf numFmtId="0" fontId="26" fillId="27" borderId="66" xfId="13" applyNumberFormat="1" applyFont="1" applyFill="1" applyBorder="1" applyAlignment="1">
      <alignment horizontal="center" vertical="center"/>
    </xf>
    <xf numFmtId="0" fontId="26" fillId="27" borderId="68" xfId="13" applyNumberFormat="1" applyFont="1" applyFill="1" applyBorder="1" applyAlignment="1">
      <alignment horizontal="center" vertical="center"/>
    </xf>
    <xf numFmtId="0" fontId="26" fillId="27" borderId="67" xfId="13" applyNumberFormat="1" applyFont="1" applyFill="1" applyBorder="1" applyAlignment="1">
      <alignment horizontal="center" vertical="center"/>
    </xf>
    <xf numFmtId="0" fontId="26" fillId="27" borderId="74" xfId="13" applyNumberFormat="1" applyFont="1" applyFill="1" applyBorder="1" applyAlignment="1">
      <alignment horizontal="center" vertical="center"/>
    </xf>
    <xf numFmtId="10" fontId="26" fillId="24" borderId="66" xfId="12" applyNumberFormat="1" applyFont="1" applyFill="1" applyBorder="1" applyAlignment="1">
      <alignment horizontal="center" vertical="center"/>
    </xf>
    <xf numFmtId="10" fontId="26" fillId="24" borderId="68" xfId="12" applyNumberFormat="1" applyFont="1" applyFill="1" applyBorder="1" applyAlignment="1">
      <alignment horizontal="center" vertical="center"/>
    </xf>
    <xf numFmtId="9" fontId="26" fillId="24" borderId="66" xfId="0" applyNumberFormat="1" applyFont="1" applyFill="1" applyBorder="1" applyAlignment="1">
      <alignment horizontal="center" vertical="center"/>
    </xf>
    <xf numFmtId="9" fontId="26" fillId="24" borderId="68" xfId="0" applyNumberFormat="1" applyFont="1" applyFill="1" applyBorder="1" applyAlignment="1">
      <alignment horizontal="center" vertical="center"/>
    </xf>
    <xf numFmtId="0" fontId="26" fillId="24" borderId="66" xfId="13" applyNumberFormat="1" applyFont="1" applyFill="1" applyBorder="1" applyAlignment="1">
      <alignment horizontal="center" vertical="center"/>
    </xf>
    <xf numFmtId="0" fontId="26" fillId="24" borderId="67" xfId="13" applyNumberFormat="1" applyFont="1" applyFill="1" applyBorder="1" applyAlignment="1">
      <alignment horizontal="center" vertical="center"/>
    </xf>
    <xf numFmtId="0" fontId="26" fillId="24" borderId="74" xfId="13" applyNumberFormat="1" applyFont="1" applyFill="1" applyBorder="1" applyAlignment="1">
      <alignment horizontal="center" vertical="center"/>
    </xf>
    <xf numFmtId="10" fontId="26" fillId="26" borderId="66" xfId="12" applyNumberFormat="1" applyFont="1" applyFill="1" applyBorder="1" applyAlignment="1">
      <alignment horizontal="center" vertical="center"/>
    </xf>
    <xf numFmtId="10" fontId="26" fillId="26" borderId="68" xfId="12" applyNumberFormat="1" applyFont="1" applyFill="1" applyBorder="1" applyAlignment="1">
      <alignment horizontal="center" vertical="center"/>
    </xf>
    <xf numFmtId="9" fontId="26" fillId="26" borderId="66" xfId="0" applyNumberFormat="1" applyFont="1" applyFill="1" applyBorder="1" applyAlignment="1">
      <alignment horizontal="center" vertical="center"/>
    </xf>
    <xf numFmtId="9" fontId="26" fillId="26" borderId="68" xfId="0" applyNumberFormat="1" applyFont="1" applyFill="1" applyBorder="1" applyAlignment="1">
      <alignment horizontal="center" vertical="center"/>
    </xf>
    <xf numFmtId="0" fontId="26" fillId="26" borderId="66" xfId="13" applyNumberFormat="1" applyFont="1" applyFill="1" applyBorder="1" applyAlignment="1">
      <alignment horizontal="center" vertical="center"/>
    </xf>
    <xf numFmtId="0" fontId="26" fillId="26" borderId="68" xfId="13" applyNumberFormat="1" applyFont="1" applyFill="1" applyBorder="1" applyAlignment="1">
      <alignment horizontal="center" vertical="center"/>
    </xf>
    <xf numFmtId="0" fontId="26" fillId="26" borderId="67" xfId="13" applyNumberFormat="1" applyFont="1" applyFill="1" applyBorder="1" applyAlignment="1">
      <alignment horizontal="center" vertical="center"/>
    </xf>
    <xf numFmtId="0" fontId="26" fillId="26" borderId="74" xfId="13" applyNumberFormat="1" applyFont="1" applyFill="1" applyBorder="1" applyAlignment="1">
      <alignment horizontal="center" vertical="center"/>
    </xf>
    <xf numFmtId="0" fontId="26" fillId="24" borderId="68" xfId="13" applyNumberFormat="1" applyFont="1" applyFill="1" applyBorder="1" applyAlignment="1">
      <alignment horizontal="center" vertical="center"/>
    </xf>
    <xf numFmtId="0" fontId="27" fillId="30" borderId="57" xfId="0" applyFont="1" applyFill="1" applyBorder="1" applyAlignment="1">
      <alignment horizontal="center" vertical="center"/>
    </xf>
    <xf numFmtId="0" fontId="27" fillId="30" borderId="58" xfId="0" applyFont="1" applyFill="1" applyBorder="1" applyAlignment="1">
      <alignment horizontal="center" vertical="center"/>
    </xf>
    <xf numFmtId="0" fontId="27" fillId="30" borderId="17" xfId="0" applyFont="1" applyFill="1" applyBorder="1" applyAlignment="1">
      <alignment horizontal="center" vertical="center"/>
    </xf>
    <xf numFmtId="0" fontId="27" fillId="30" borderId="70" xfId="0" applyFont="1" applyFill="1" applyBorder="1" applyAlignment="1">
      <alignment horizontal="center" vertical="center"/>
    </xf>
    <xf numFmtId="0" fontId="27" fillId="30" borderId="53" xfId="0" applyFont="1" applyFill="1" applyBorder="1" applyAlignment="1">
      <alignment horizontal="center" vertical="center"/>
    </xf>
    <xf numFmtId="0" fontId="27" fillId="30" borderId="19" xfId="0" applyFont="1" applyFill="1" applyBorder="1" applyAlignment="1">
      <alignment horizontal="center" vertical="center"/>
    </xf>
    <xf numFmtId="167" fontId="28" fillId="0" borderId="57" xfId="0" applyNumberFormat="1" applyFont="1" applyBorder="1" applyAlignment="1">
      <alignment horizontal="center" vertical="center"/>
    </xf>
    <xf numFmtId="167" fontId="28" fillId="0" borderId="58" xfId="0" applyNumberFormat="1" applyFont="1" applyBorder="1" applyAlignment="1">
      <alignment horizontal="center" vertical="center"/>
    </xf>
    <xf numFmtId="167" fontId="28" fillId="0" borderId="17" xfId="0" applyNumberFormat="1" applyFont="1" applyBorder="1" applyAlignment="1">
      <alignment horizontal="center" vertical="center"/>
    </xf>
    <xf numFmtId="167" fontId="28" fillId="0" borderId="70" xfId="0" applyNumberFormat="1" applyFont="1" applyBorder="1" applyAlignment="1">
      <alignment horizontal="center" vertical="center"/>
    </xf>
    <xf numFmtId="167" fontId="28" fillId="0" borderId="53" xfId="0" applyNumberFormat="1" applyFont="1" applyBorder="1" applyAlignment="1">
      <alignment horizontal="center" vertical="center"/>
    </xf>
    <xf numFmtId="167" fontId="28" fillId="0" borderId="19" xfId="0" applyNumberFormat="1" applyFont="1" applyBorder="1" applyAlignment="1">
      <alignment horizontal="center" vertical="center"/>
    </xf>
    <xf numFmtId="0" fontId="6" fillId="2" borderId="51"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39" fillId="2" borderId="27" xfId="0" applyFont="1" applyFill="1" applyBorder="1" applyAlignment="1">
      <alignment horizontal="center" vertical="center" wrapText="1"/>
    </xf>
    <xf numFmtId="0" fontId="40" fillId="2" borderId="27" xfId="0" applyFont="1" applyFill="1" applyBorder="1" applyAlignment="1">
      <alignment horizontal="center" vertical="center" wrapText="1"/>
    </xf>
    <xf numFmtId="0" fontId="20" fillId="30" borderId="27" xfId="0" applyFont="1" applyFill="1" applyBorder="1" applyAlignment="1">
      <alignment horizontal="center" vertical="center" wrapText="1"/>
    </xf>
    <xf numFmtId="0" fontId="18" fillId="30" borderId="27" xfId="0" applyFont="1" applyFill="1" applyBorder="1" applyAlignment="1">
      <alignment horizontal="center" vertical="center" wrapText="1"/>
    </xf>
    <xf numFmtId="0" fontId="21" fillId="30" borderId="27" xfId="0" applyFont="1" applyFill="1" applyBorder="1" applyAlignment="1">
      <alignment horizontal="center" vertical="center" wrapText="1"/>
    </xf>
    <xf numFmtId="0" fontId="0" fillId="30" borderId="27" xfId="0" applyFill="1" applyBorder="1" applyAlignment="1">
      <alignment horizontal="center" vertical="center" wrapText="1"/>
    </xf>
    <xf numFmtId="0" fontId="6" fillId="34" borderId="51" xfId="0" applyFont="1" applyFill="1" applyBorder="1" applyAlignment="1">
      <alignment horizontal="center" wrapText="1"/>
    </xf>
    <xf numFmtId="0" fontId="6" fillId="34" borderId="5" xfId="0" applyFont="1" applyFill="1" applyBorder="1" applyAlignment="1">
      <alignment horizontal="center" wrapText="1"/>
    </xf>
    <xf numFmtId="0" fontId="20" fillId="34" borderId="51" xfId="0" applyFont="1" applyFill="1" applyBorder="1" applyAlignment="1">
      <alignment horizontal="center" vertical="center" wrapText="1"/>
    </xf>
    <xf numFmtId="0" fontId="20" fillId="34" borderId="5" xfId="0" applyFont="1" applyFill="1" applyBorder="1" applyAlignment="1">
      <alignment horizontal="center" vertical="center" wrapText="1"/>
    </xf>
    <xf numFmtId="169" fontId="20" fillId="34" borderId="51" xfId="0" applyNumberFormat="1" applyFont="1" applyFill="1" applyBorder="1" applyAlignment="1">
      <alignment horizontal="center" vertical="center" wrapText="1"/>
    </xf>
    <xf numFmtId="169" fontId="20" fillId="34" borderId="5" xfId="0" applyNumberFormat="1" applyFont="1" applyFill="1" applyBorder="1" applyAlignment="1">
      <alignment horizontal="center" vertical="center" wrapText="1"/>
    </xf>
    <xf numFmtId="0" fontId="6" fillId="34" borderId="66" xfId="0" applyFont="1" applyFill="1" applyBorder="1" applyAlignment="1">
      <alignment horizontal="center" wrapText="1"/>
    </xf>
    <xf numFmtId="0" fontId="6" fillId="34" borderId="68" xfId="0" applyFont="1" applyFill="1" applyBorder="1" applyAlignment="1">
      <alignment horizontal="center" wrapText="1"/>
    </xf>
    <xf numFmtId="0" fontId="6" fillId="34" borderId="12" xfId="0" applyFont="1" applyFill="1" applyBorder="1" applyAlignment="1">
      <alignment horizontal="center" wrapText="1"/>
    </xf>
    <xf numFmtId="0" fontId="6" fillId="34" borderId="26" xfId="0" applyFont="1" applyFill="1" applyBorder="1" applyAlignment="1">
      <alignment horizontal="center" wrapText="1"/>
    </xf>
    <xf numFmtId="0" fontId="0" fillId="0" borderId="0" xfId="0" applyFill="1" applyBorder="1"/>
  </cellXfs>
  <cellStyles count="18">
    <cellStyle name="20% - Accent1" xfId="2" builtinId="30"/>
    <cellStyle name="20% - Accent2" xfId="3" builtinId="34"/>
    <cellStyle name="20% - Accent4" xfId="5" builtinId="42"/>
    <cellStyle name="20% - Accent5" xfId="6" builtinId="46"/>
    <cellStyle name="20% - Accent6" xfId="7" builtinId="50"/>
    <cellStyle name="40% - Accent1" xfId="14" builtinId="31"/>
    <cellStyle name="40% - Accent2" xfId="4" builtinId="35"/>
    <cellStyle name="40% - Accent3" xfId="16" builtinId="39"/>
    <cellStyle name="60% - Accent2" xfId="15" builtinId="36"/>
    <cellStyle name="60% - Accent4" xfId="17" builtinId="44"/>
    <cellStyle name="Bad" xfId="9" builtinId="27"/>
    <cellStyle name="Calculation" xfId="11" builtinId="22"/>
    <cellStyle name="Currency" xfId="13" builtinId="4"/>
    <cellStyle name="Good" xfId="8" builtinId="26"/>
    <cellStyle name="Hyperlink" xfId="1" builtinId="8"/>
    <cellStyle name="Neutral" xfId="10" builtinId="28"/>
    <cellStyle name="Normal" xfId="0" builtinId="0"/>
    <cellStyle name="Percent" xfId="12" builtinId="5"/>
  </cellStyles>
  <dxfs count="27">
    <dxf>
      <fill>
        <patternFill>
          <bgColor rgb="FFFF0000"/>
        </patternFill>
      </fill>
    </dxf>
    <dxf>
      <fill>
        <patternFill>
          <bgColor rgb="FFFF0000"/>
        </patternFill>
      </fill>
    </dxf>
    <dxf>
      <font>
        <color rgb="FFFF0000"/>
      </font>
      <fill>
        <patternFill>
          <bgColor rgb="FFFF0000"/>
        </patternFill>
      </fill>
    </dxf>
    <dxf>
      <font>
        <color rgb="FFFF0000"/>
      </font>
      <fill>
        <patternFill>
          <bgColor rgb="FFFF0000"/>
        </patternFill>
      </fill>
    </dxf>
    <dxf>
      <fill>
        <patternFill>
          <bgColor rgb="FFFF0000"/>
        </patternFill>
      </fill>
    </dxf>
    <dxf>
      <fill>
        <patternFill>
          <bgColor rgb="FFFF0000"/>
        </patternFill>
      </fill>
    </dxf>
    <dxf>
      <font>
        <color rgb="FFFF0000"/>
      </font>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92D050"/>
        </patternFill>
      </fill>
    </dxf>
    <dxf>
      <fill>
        <patternFill>
          <bgColor rgb="FF92D050"/>
        </patternFill>
      </fill>
    </dxf>
    <dxf>
      <fill>
        <patternFill>
          <bgColor rgb="FFFF0000"/>
        </patternFill>
      </fill>
    </dxf>
    <dxf>
      <font>
        <b val="0"/>
      </font>
      <numFmt numFmtId="170" formatCode="_ &quot;₪&quot;\ * #,##0_ ;_ &quot;₪&quot;\ * \-#,##0_ ;_ &quot;₪&quot;\ * &quot;-&quot;??_ ;_ @_ "/>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font>
      <numFmt numFmtId="170" formatCode="_ &quot;₪&quot;\ * #,##0_ ;_ &quot;₪&quot;\ * \-#,##0_ ;_ &quot;₪&quot;\ * &quot;-&quot;??_ ;_ @_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charset val="177"/>
        <scheme val="minor"/>
      </font>
      <numFmt numFmtId="170" formatCode="_ &quot;₪&quot;\ * #,##0_ ;_ &quot;₪&quot;\ * \-#,##0_ ;_ &quot;₪&quot;\ * &quot;-&quot;??_ ;_ @_ "/>
      <fill>
        <patternFill patternType="solid">
          <fgColor indexed="64"/>
          <bgColor rgb="FFFECE0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font>
      <alignment horizontal="center" vertical="center" textRotation="0" wrapText="0" indent="0" justifyLastLine="0" shrinkToFit="0" readingOrder="0"/>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64482081396322743"/>
          <c:y val="3.191306579337106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he-IL"/>
        </a:p>
      </c:txPr>
    </c:title>
    <c:autoTitleDeleted val="0"/>
    <c:view3D>
      <c:rotX val="75"/>
      <c:rotY val="36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686-4457-A1CF-A983867F09B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686-4457-A1CF-A983867F09B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686-4457-A1CF-A983867F09B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686-4457-A1CF-A983867F09B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686-4457-A1CF-A983867F09B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AB9-474C-BD4B-1C00BE255F90}"/>
              </c:ext>
            </c:extLst>
          </c:dPt>
          <c:dLbls>
            <c:dLbl>
              <c:idx val="0"/>
              <c:layout>
                <c:manualLayout>
                  <c:x val="4.9705472630584974E-2"/>
                  <c:y val="-7.994285802235108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686-4457-A1CF-A983867F09BD}"/>
                </c:ext>
              </c:extLst>
            </c:dLbl>
            <c:dLbl>
              <c:idx val="1"/>
              <c:layout>
                <c:manualLayout>
                  <c:x val="-9.4221201571358007E-2"/>
                  <c:y val="-1.056762565585996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he-IL"/>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40881"/>
                        <a:gd name="adj2" fmla="val 105705"/>
                        <a:gd name="adj3" fmla="val 19679"/>
                        <a:gd name="adj4" fmla="val 189936"/>
                      </a:avLst>
                    </a:prstGeom>
                    <a:noFill/>
                    <a:ln>
                      <a:noFill/>
                    </a:ln>
                  </c15:spPr>
                </c:ext>
                <c:ext xmlns:c16="http://schemas.microsoft.com/office/drawing/2014/chart" uri="{C3380CC4-5D6E-409C-BE32-E72D297353CC}">
                  <c16:uniqueId val="{00000003-2686-4457-A1CF-A983867F09BD}"/>
                </c:ext>
              </c:extLst>
            </c:dLbl>
            <c:dLbl>
              <c:idx val="2"/>
              <c:layout>
                <c:manualLayout>
                  <c:x val="-7.7283379595869298E-2"/>
                  <c:y val="-3.3051794735752438E-3"/>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he-IL"/>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51947"/>
                        <a:gd name="adj2" fmla="val 95795"/>
                        <a:gd name="adj3" fmla="val 79584"/>
                        <a:gd name="adj4" fmla="val 164381"/>
                      </a:avLst>
                    </a:prstGeom>
                    <a:noFill/>
                    <a:ln>
                      <a:noFill/>
                    </a:ln>
                  </c15:spPr>
                </c:ext>
                <c:ext xmlns:c16="http://schemas.microsoft.com/office/drawing/2014/chart" uri="{C3380CC4-5D6E-409C-BE32-E72D297353CC}">
                  <c16:uniqueId val="{00000005-2686-4457-A1CF-A983867F09BD}"/>
                </c:ext>
              </c:extLst>
            </c:dLbl>
            <c:dLbl>
              <c:idx val="3"/>
              <c:layout>
                <c:manualLayout>
                  <c:x val="-1.5027139303395307E-2"/>
                  <c:y val="-9.986697011946837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he-IL"/>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72050"/>
                        <a:gd name="adj2" fmla="val 106589"/>
                        <a:gd name="adj3" fmla="val 231319"/>
                        <a:gd name="adj4" fmla="val 139483"/>
                      </a:avLst>
                    </a:prstGeom>
                    <a:noFill/>
                    <a:ln>
                      <a:noFill/>
                    </a:ln>
                  </c15:spPr>
                </c:ext>
                <c:ext xmlns:c16="http://schemas.microsoft.com/office/drawing/2014/chart" uri="{C3380CC4-5D6E-409C-BE32-E72D297353CC}">
                  <c16:uniqueId val="{00000007-2686-4457-A1CF-A983867F09BD}"/>
                </c:ext>
              </c:extLst>
            </c:dLbl>
            <c:dLbl>
              <c:idx val="4"/>
              <c:layout>
                <c:manualLayout>
                  <c:x val="-2.032062289760304E-2"/>
                  <c:y val="-0.1237814070152196"/>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he-IL"/>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40881"/>
                        <a:gd name="adj2" fmla="val 96538"/>
                        <a:gd name="adj3" fmla="val 266509"/>
                        <a:gd name="adj4" fmla="val 131208"/>
                      </a:avLst>
                    </a:prstGeom>
                    <a:noFill/>
                    <a:ln>
                      <a:noFill/>
                    </a:ln>
                  </c15:spPr>
                </c:ext>
                <c:ext xmlns:c16="http://schemas.microsoft.com/office/drawing/2014/chart" uri="{C3380CC4-5D6E-409C-BE32-E72D297353CC}">
                  <c16:uniqueId val="{00000009-2686-4457-A1CF-A983867F09BD}"/>
                </c:ext>
              </c:extLst>
            </c:dLbl>
            <c:dLbl>
              <c:idx val="5"/>
              <c:layout>
                <c:manualLayout>
                  <c:x val="6.6107278619812665E-2"/>
                  <c:y val="-4.832882016830372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AB9-474C-BD4B-1C00BE255F9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he-IL"/>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ext>
            </c:extLst>
          </c:dLbls>
          <c:cat>
            <c:strRef>
              <c:extLst>
                <c:ext xmlns:c15="http://schemas.microsoft.com/office/drawing/2012/chart" uri="{02D57815-91ED-43cb-92C2-25804820EDAC}">
                  <c15:fullRef>
                    <c15:sqref>'סיכום מסלולי השקעה'!$A$9:$A$22</c15:sqref>
                  </c15:fullRef>
                </c:ext>
              </c:extLst>
              <c:f>('סיכום מסלולי השקעה'!$A$9:$A$11,'סיכום מסלולי השקעה'!$A$20:$A$22)</c:f>
              <c:strCache>
                <c:ptCount val="6"/>
                <c:pt idx="0">
                  <c:v> פנסיה </c:v>
                </c:pt>
                <c:pt idx="1">
                  <c:v>השתלמות כללי</c:v>
                </c:pt>
                <c:pt idx="2">
                  <c:v>השתלמות לא פעיל</c:v>
                </c:pt>
                <c:pt idx="3">
                  <c:v>תיק מסחר</c:v>
                </c:pt>
                <c:pt idx="4">
                  <c:v>קרן ביטחון</c:v>
                </c:pt>
                <c:pt idx="5">
                  <c:v>עו"ש</c:v>
                </c:pt>
              </c:strCache>
            </c:strRef>
          </c:cat>
          <c:val>
            <c:numRef>
              <c:extLst>
                <c:ext xmlns:c15="http://schemas.microsoft.com/office/drawing/2012/chart" uri="{02D57815-91ED-43cb-92C2-25804820EDAC}">
                  <c15:fullRef>
                    <c15:sqref>'סיכום מסלולי השקעה'!$B$9:$B$22</c15:sqref>
                  </c15:fullRef>
                </c:ext>
              </c:extLst>
              <c:f>('סיכום מסלולי השקעה'!$B$9:$B$11,'סיכום מסלולי השקעה'!$B$20:$B$22)</c:f>
              <c:numCache>
                <c:formatCode>_ [$₪-40D]\ * #,##0_ ;_ [$₪-40D]\ * \-#,##0_ ;_ [$₪-40D]\ * "-"??_ ;_ @_ </c:formatCode>
                <c:ptCount val="6"/>
                <c:pt idx="0">
                  <c:v>570000</c:v>
                </c:pt>
                <c:pt idx="1">
                  <c:v>167500</c:v>
                </c:pt>
                <c:pt idx="2">
                  <c:v>52400</c:v>
                </c:pt>
                <c:pt idx="3">
                  <c:v>24000</c:v>
                </c:pt>
                <c:pt idx="4">
                  <c:v>108000</c:v>
                </c:pt>
                <c:pt idx="5">
                  <c:v>20000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FAB9-474C-BD4B-1C00BE255F90}"/>
            </c:ext>
          </c:extLst>
        </c:ser>
        <c:dLbls>
          <c:dLblPos val="bestFit"/>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246100</xdr:colOff>
      <xdr:row>28</xdr:row>
      <xdr:rowOff>103975</xdr:rowOff>
    </xdr:from>
    <xdr:to>
      <xdr:col>10</xdr:col>
      <xdr:colOff>212271</xdr:colOff>
      <xdr:row>50</xdr:row>
      <xdr:rowOff>0</xdr:rowOff>
    </xdr:to>
    <xdr:graphicFrame macro="">
      <xdr:nvGraphicFramePr>
        <xdr:cNvPr id="3" name="Chart 2">
          <a:extLst>
            <a:ext uri="{FF2B5EF4-FFF2-40B4-BE49-F238E27FC236}">
              <a16:creationId xmlns:a16="http://schemas.microsoft.com/office/drawing/2014/main" id="{0CFA8773-AA0E-24EC-12A2-B149CCE16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1133475</xdr:colOff>
      <xdr:row>0</xdr:row>
      <xdr:rowOff>0</xdr:rowOff>
    </xdr:from>
    <xdr:to>
      <xdr:col>11</xdr:col>
      <xdr:colOff>361574</xdr:colOff>
      <xdr:row>21</xdr:row>
      <xdr:rowOff>238125</xdr:rowOff>
    </xdr:to>
    <xdr:pic>
      <xdr:nvPicPr>
        <xdr:cNvPr id="2" name="תמונה 1">
          <a:extLst>
            <a:ext uri="{FF2B5EF4-FFF2-40B4-BE49-F238E27FC236}">
              <a16:creationId xmlns:a16="http://schemas.microsoft.com/office/drawing/2014/main" id="{C60BF712-91D6-402A-80E0-9152A9573761}"/>
            </a:ext>
          </a:extLst>
        </xdr:cNvPr>
        <xdr:cNvPicPr>
          <a:picLocks noChangeAspect="1"/>
        </xdr:cNvPicPr>
      </xdr:nvPicPr>
      <xdr:blipFill>
        <a:blip xmlns:r="http://schemas.openxmlformats.org/officeDocument/2006/relationships" r:embed="rId1"/>
        <a:stretch>
          <a:fillRect/>
        </a:stretch>
      </xdr:blipFill>
      <xdr:spPr>
        <a:xfrm>
          <a:off x="11228241826" y="0"/>
          <a:ext cx="4495424" cy="4572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5B527D-8FDD-4678-8FAA-92B63EA83ABF}" name="טבלה3" displayName="טבלה3" ref="A9:E16" totalsRowShown="0" headerRowDxfId="26" dataDxfId="25">
  <autoFilter ref="A9:E16" xr:uid="{CD5B527D-8FDD-4678-8FAA-92B63EA83ABF}"/>
  <tableColumns count="5">
    <tableColumn id="1" xr3:uid="{18D6F0B5-DFE5-496A-B0A6-54EE3B39D8EA}" name="כמה אחוז במסלול מחקה מדד" dataDxfId="24"/>
    <tableColumn id="2" xr3:uid="{97528FE2-38CE-4B92-85F5-A49D89BF1855}" name="עמודה1" dataDxfId="23"/>
    <tableColumn id="3" xr3:uid="{0BDB0805-094A-4195-99E2-BFDCD178F916}" name="עמודה2" dataDxfId="22" dataCellStyle="Currency"/>
    <tableColumn id="4" xr3:uid="{0E223B11-FA6C-4709-9EDD-10C1952494FA}" name="החלק המנייתי של התיק" dataDxfId="21"/>
    <tableColumn id="5" xr3:uid="{972D2D16-A7E2-4F28-BADE-83F3913EA3F9}" name="החלק הסולידי של התיק " dataDxfId="2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fnx.co.il/gemel/gemelhashkaa/tzgemelhashkaa/7907" TargetMode="External"/><Relationship Id="rId1" Type="http://schemas.openxmlformats.org/officeDocument/2006/relationships/hyperlink" Target="https://www.fnx.co.il/gemel/gemelhashkaa/tzgemelhashkaa/7907"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nx.co.il/gemel/gemelhashkaa/tzgemelhashkaa/7907" TargetMode="External"/><Relationship Id="rId1" Type="http://schemas.openxmlformats.org/officeDocument/2006/relationships/hyperlink" Target="https://www.fnx.co.il/gemel/gemelhashkaa/tzgemelhashkaa/790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investor.vanguard.com/investment-products/etfs/profile/voo" TargetMode="External"/><Relationship Id="rId13" Type="http://schemas.openxmlformats.org/officeDocument/2006/relationships/hyperlink" Target="https://www.blackrock.com/il/individual/en/products/253741/ishares-nasdaq-100-ucits-etf" TargetMode="External"/><Relationship Id="rId18" Type="http://schemas.openxmlformats.org/officeDocument/2006/relationships/hyperlink" Target="https://www.funder.co.il/fund/5131701" TargetMode="External"/><Relationship Id="rId3" Type="http://schemas.openxmlformats.org/officeDocument/2006/relationships/hyperlink" Target="https://www.invesco.com/uk/en/financial-products/etfs/invesco-msci-world-ucits-etf-acc.html" TargetMode="External"/><Relationship Id="rId7" Type="http://schemas.openxmlformats.org/officeDocument/2006/relationships/hyperlink" Target="https://investor.vanguard.com/investment-products/etfs/profile/vt" TargetMode="External"/><Relationship Id="rId12" Type="http://schemas.openxmlformats.org/officeDocument/2006/relationships/hyperlink" Target="https://www.youtube.com/watch?v=saPXT6IrqEk" TargetMode="External"/><Relationship Id="rId17" Type="http://schemas.openxmlformats.org/officeDocument/2006/relationships/hyperlink" Target="https://www.funder.co.il/fund/5117866" TargetMode="External"/><Relationship Id="rId2" Type="http://schemas.openxmlformats.org/officeDocument/2006/relationships/hyperlink" Target="https://www.blackrock.com/il/individual/en/products/251850/ishares-msci-acwi-ucits-etf" TargetMode="External"/><Relationship Id="rId16" Type="http://schemas.openxmlformats.org/officeDocument/2006/relationships/hyperlink" Target="https://www.invesco.com/uk/en/financial-products/etfs/invesco-russell-2000-ucits-etf-acc.html" TargetMode="External"/><Relationship Id="rId1" Type="http://schemas.openxmlformats.org/officeDocument/2006/relationships/hyperlink" Target="https://www.blackrock.com/il/individual/en/products/253743/ishares-sp-500-b-ucits-etf-acc-fund" TargetMode="External"/><Relationship Id="rId6" Type="http://schemas.openxmlformats.org/officeDocument/2006/relationships/hyperlink" Target="https://market.tase.co.il/he/market_data/etf/1143718/major_data" TargetMode="External"/><Relationship Id="rId11" Type="http://schemas.openxmlformats.org/officeDocument/2006/relationships/hyperlink" Target="https://www.funder.co.il/kaspit" TargetMode="External"/><Relationship Id="rId5" Type="http://schemas.openxmlformats.org/officeDocument/2006/relationships/hyperlink" Target="https://market.tase.co.il/he/market_data/etf/1146646/major_data" TargetMode="External"/><Relationship Id="rId15" Type="http://schemas.openxmlformats.org/officeDocument/2006/relationships/hyperlink" Target="https://www.invesco.com/il/en/financial-products/etfs/invesco-nasdaq-100-swap-ucits-etf-acc.html" TargetMode="External"/><Relationship Id="rId10" Type="http://schemas.openxmlformats.org/officeDocument/2006/relationships/hyperlink" Target="https://investor.vanguard.com/investment-products/etfs/profile/bndw" TargetMode="External"/><Relationship Id="rId19" Type="http://schemas.openxmlformats.org/officeDocument/2006/relationships/drawing" Target="../drawings/drawing1.xml"/><Relationship Id="rId4" Type="http://schemas.openxmlformats.org/officeDocument/2006/relationships/hyperlink" Target="https://www.tase.co.il/he/market_data/etf/1146570/major_data" TargetMode="External"/><Relationship Id="rId9" Type="http://schemas.openxmlformats.org/officeDocument/2006/relationships/hyperlink" Target="https://investor.vanguard.com/investment-products/etfs/profile/bnd" TargetMode="External"/><Relationship Id="rId14" Type="http://schemas.openxmlformats.org/officeDocument/2006/relationships/hyperlink" Target="https://www.invesco.com/fi/en/financial-products/etfs/invesco-sp-500-ucits-etf-acc.html"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DFFC3-5503-4E9D-AA82-D3624E98353C}">
  <dimension ref="A2:Q45"/>
  <sheetViews>
    <sheetView rightToLeft="1" topLeftCell="B1" zoomScaleNormal="100" workbookViewId="0">
      <selection activeCell="B14" sqref="B14"/>
    </sheetView>
  </sheetViews>
  <sheetFormatPr defaultRowHeight="14.25"/>
  <cols>
    <col min="1" max="1" width="33" bestFit="1" customWidth="1"/>
    <col min="2" max="2" width="77.875" customWidth="1"/>
    <col min="3" max="3" width="21.25" bestFit="1" customWidth="1"/>
    <col min="4" max="4" width="9.875" bestFit="1" customWidth="1"/>
    <col min="5" max="5" width="19.25" bestFit="1" customWidth="1"/>
    <col min="6" max="6" width="27.125" bestFit="1" customWidth="1"/>
    <col min="7" max="7" width="10.625" bestFit="1" customWidth="1"/>
    <col min="13" max="13" width="32.25" bestFit="1" customWidth="1"/>
  </cols>
  <sheetData>
    <row r="2" spans="1:17" ht="15">
      <c r="A2" s="251">
        <v>45669</v>
      </c>
    </row>
    <row r="4" spans="1:17">
      <c r="D4" s="394" t="s">
        <v>1</v>
      </c>
      <c r="E4" s="394"/>
      <c r="I4" s="2">
        <v>44579</v>
      </c>
      <c r="J4" s="2">
        <v>44707</v>
      </c>
      <c r="K4" s="2">
        <v>44865</v>
      </c>
      <c r="L4" s="2">
        <v>44940</v>
      </c>
      <c r="M4" s="2">
        <v>45085</v>
      </c>
      <c r="N4" s="2">
        <v>45103</v>
      </c>
      <c r="O4" s="2">
        <v>45479</v>
      </c>
      <c r="P4" s="2">
        <v>45609</v>
      </c>
    </row>
    <row r="5" spans="1:17" ht="15" thickBot="1">
      <c r="C5" s="1" t="s">
        <v>4</v>
      </c>
      <c r="D5" s="1" t="s">
        <v>2</v>
      </c>
      <c r="E5" s="1" t="s">
        <v>3</v>
      </c>
      <c r="F5" s="1" t="s">
        <v>5</v>
      </c>
      <c r="G5" s="1" t="s">
        <v>6</v>
      </c>
      <c r="H5" s="1" t="s">
        <v>192</v>
      </c>
      <c r="I5" s="1" t="s">
        <v>10</v>
      </c>
      <c r="J5" s="1" t="s">
        <v>10</v>
      </c>
      <c r="K5" s="1" t="s">
        <v>10</v>
      </c>
      <c r="L5" s="1" t="s">
        <v>10</v>
      </c>
    </row>
    <row r="6" spans="1:17" ht="15" thickBot="1">
      <c r="A6" s="395" t="s">
        <v>0</v>
      </c>
      <c r="B6" s="58" t="s">
        <v>50</v>
      </c>
      <c r="C6" s="6">
        <v>4326</v>
      </c>
      <c r="D6" s="7">
        <v>1.5</v>
      </c>
      <c r="E6" s="7">
        <v>0.1</v>
      </c>
      <c r="F6" s="8">
        <v>0.06</v>
      </c>
      <c r="G6" s="9">
        <v>6.5000000000000002E-2</v>
      </c>
      <c r="H6" s="6"/>
      <c r="I6" s="11">
        <v>305174</v>
      </c>
      <c r="J6" s="13">
        <v>316245</v>
      </c>
      <c r="K6" s="17"/>
      <c r="L6" s="19">
        <v>345916</v>
      </c>
      <c r="O6" s="28">
        <v>533665</v>
      </c>
      <c r="P6" s="28"/>
    </row>
    <row r="7" spans="1:17" ht="15.75" thickBot="1">
      <c r="A7" s="396"/>
      <c r="B7" s="59" t="s">
        <v>55</v>
      </c>
      <c r="C7" s="6"/>
      <c r="D7" s="7">
        <v>1.75</v>
      </c>
      <c r="E7" s="7">
        <v>8.4000000000000005E-2</v>
      </c>
      <c r="F7" s="8"/>
      <c r="G7" s="9"/>
      <c r="H7" s="6">
        <v>5140</v>
      </c>
      <c r="I7" s="11"/>
      <c r="J7" s="21"/>
      <c r="K7" s="22"/>
      <c r="L7" s="23"/>
      <c r="O7" s="28"/>
      <c r="P7" s="28">
        <v>563121</v>
      </c>
    </row>
    <row r="8" spans="1:17" ht="15" thickBot="1">
      <c r="A8" s="396"/>
      <c r="B8" s="60" t="s">
        <v>51</v>
      </c>
      <c r="C8" s="7">
        <f>H8*(6+6.5+8.33-1.5)/100</f>
        <v>0</v>
      </c>
      <c r="D8" s="7">
        <v>1.5</v>
      </c>
      <c r="E8" s="7">
        <v>0.1</v>
      </c>
      <c r="F8" s="8">
        <v>0.06</v>
      </c>
      <c r="G8" s="9">
        <v>6.5000000000000002E-2</v>
      </c>
      <c r="H8" s="7"/>
      <c r="I8" s="11">
        <v>3046</v>
      </c>
      <c r="J8" s="14">
        <v>3254</v>
      </c>
      <c r="K8" s="18"/>
      <c r="L8" s="20">
        <v>5273</v>
      </c>
      <c r="O8" s="28">
        <v>16475</v>
      </c>
      <c r="P8" s="28"/>
    </row>
    <row r="9" spans="1:17" ht="15.75" thickBot="1">
      <c r="A9" s="397"/>
      <c r="B9" s="61" t="s">
        <v>56</v>
      </c>
      <c r="C9" s="10"/>
      <c r="D9" s="10">
        <v>1</v>
      </c>
      <c r="E9" s="10">
        <v>0.18</v>
      </c>
      <c r="F9" s="35"/>
      <c r="G9" s="36"/>
      <c r="H9" s="10">
        <v>698</v>
      </c>
      <c r="I9" s="37"/>
      <c r="J9" s="15"/>
      <c r="K9" s="107"/>
      <c r="L9" s="108"/>
      <c r="O9" s="28"/>
      <c r="P9" s="28">
        <v>18900</v>
      </c>
    </row>
    <row r="10" spans="1:17" ht="15" thickBot="1"/>
    <row r="11" spans="1:17" ht="15.75" thickBot="1">
      <c r="A11" s="395" t="s">
        <v>54</v>
      </c>
      <c r="B11" s="109" t="s">
        <v>153</v>
      </c>
      <c r="C11" s="7" t="s">
        <v>80</v>
      </c>
      <c r="D11" s="110" t="s">
        <v>7</v>
      </c>
      <c r="E11" s="110" t="s">
        <v>7</v>
      </c>
      <c r="F11" s="110" t="s">
        <v>154</v>
      </c>
      <c r="G11" s="110" t="s">
        <v>7</v>
      </c>
      <c r="H11" s="6"/>
      <c r="I11" s="111" t="s">
        <v>7</v>
      </c>
      <c r="J11" s="112" t="s">
        <v>7</v>
      </c>
      <c r="K11" s="113"/>
      <c r="L11" s="114" t="s">
        <v>7</v>
      </c>
      <c r="M11" s="115" t="s">
        <v>15</v>
      </c>
      <c r="O11" s="28"/>
      <c r="P11" s="28"/>
    </row>
    <row r="12" spans="1:17">
      <c r="A12" s="396"/>
      <c r="B12" s="62" t="s">
        <v>52</v>
      </c>
      <c r="C12" s="29"/>
      <c r="D12" s="29">
        <v>0</v>
      </c>
      <c r="E12" s="29">
        <v>0.85</v>
      </c>
      <c r="F12" s="30">
        <v>2.5000000000000001E-2</v>
      </c>
      <c r="G12" s="30">
        <v>7.4999999999999997E-2</v>
      </c>
      <c r="H12" s="31"/>
      <c r="I12" s="32">
        <v>25498</v>
      </c>
      <c r="J12" s="33">
        <v>35957</v>
      </c>
      <c r="K12" s="33">
        <v>48095</v>
      </c>
      <c r="L12" s="33">
        <v>52229</v>
      </c>
      <c r="M12" s="33">
        <v>62655</v>
      </c>
    </row>
    <row r="13" spans="1:17" ht="15">
      <c r="A13" s="396"/>
      <c r="B13" s="244" t="s">
        <v>304</v>
      </c>
      <c r="C13" s="16" t="s">
        <v>156</v>
      </c>
      <c r="D13" s="16"/>
      <c r="E13" s="16">
        <v>0.7</v>
      </c>
      <c r="F13" s="25">
        <v>2.5000000000000001E-2</v>
      </c>
      <c r="G13" s="25">
        <v>7.4999999999999997E-2</v>
      </c>
      <c r="H13" s="24">
        <v>2803</v>
      </c>
      <c r="I13" s="26"/>
      <c r="J13" s="27"/>
      <c r="K13" s="27"/>
      <c r="L13" s="27"/>
      <c r="M13" s="116">
        <v>62655</v>
      </c>
      <c r="N13" s="28">
        <v>69299</v>
      </c>
      <c r="O13" s="28">
        <v>108599</v>
      </c>
      <c r="P13" s="28">
        <v>124624</v>
      </c>
      <c r="Q13" s="28"/>
    </row>
    <row r="14" spans="1:17" ht="15">
      <c r="A14" s="396"/>
      <c r="B14" s="63" t="s">
        <v>303</v>
      </c>
      <c r="C14" s="16"/>
      <c r="D14" s="16"/>
      <c r="E14" s="16" t="s">
        <v>155</v>
      </c>
      <c r="F14" s="25"/>
      <c r="G14" s="25"/>
      <c r="H14" s="24"/>
      <c r="I14" s="26"/>
      <c r="J14" s="27"/>
      <c r="K14" s="27"/>
      <c r="L14" s="27"/>
      <c r="M14" s="116"/>
      <c r="N14" s="28"/>
      <c r="O14" s="28"/>
      <c r="P14" s="28">
        <v>53605</v>
      </c>
      <c r="Q14" s="28"/>
    </row>
    <row r="15" spans="1:17" ht="15" thickBot="1">
      <c r="A15" s="397"/>
      <c r="B15" s="117" t="s">
        <v>53</v>
      </c>
      <c r="C15" s="3"/>
      <c r="D15" s="3"/>
      <c r="E15" s="3"/>
      <c r="F15" s="4"/>
      <c r="G15" s="4"/>
      <c r="H15" s="5"/>
      <c r="I15" s="12">
        <v>45025</v>
      </c>
      <c r="J15" s="15">
        <v>44705</v>
      </c>
      <c r="K15" s="15">
        <v>43012</v>
      </c>
      <c r="L15" s="15">
        <v>42716</v>
      </c>
      <c r="M15" s="118">
        <v>43757</v>
      </c>
      <c r="N15" s="28">
        <v>44755</v>
      </c>
      <c r="O15" s="28">
        <v>50263</v>
      </c>
      <c r="P15" s="28">
        <v>53605</v>
      </c>
    </row>
    <row r="16" spans="1:17" ht="15" thickBot="1"/>
    <row r="17" spans="1:8" ht="15.75" thickBot="1">
      <c r="A17" s="246" t="s">
        <v>8</v>
      </c>
      <c r="B17" s="238" t="s">
        <v>11</v>
      </c>
      <c r="C17" s="239">
        <v>75</v>
      </c>
      <c r="D17" s="239"/>
      <c r="E17" s="240">
        <v>46076</v>
      </c>
      <c r="F17" t="s">
        <v>300</v>
      </c>
    </row>
    <row r="18" spans="1:8" ht="15" thickBot="1"/>
    <row r="19" spans="1:8">
      <c r="A19" s="398" t="s">
        <v>9</v>
      </c>
      <c r="B19" s="119" t="s">
        <v>12</v>
      </c>
      <c r="C19" s="99">
        <v>19.899999999999999</v>
      </c>
      <c r="D19" s="100" t="s">
        <v>7</v>
      </c>
      <c r="E19" s="101">
        <v>45550</v>
      </c>
    </row>
    <row r="20" spans="1:8">
      <c r="A20" s="399"/>
      <c r="B20" s="120" t="s">
        <v>13</v>
      </c>
      <c r="C20" s="97">
        <v>21.9</v>
      </c>
      <c r="D20" s="98"/>
      <c r="E20" s="102" t="s">
        <v>14</v>
      </c>
    </row>
    <row r="21" spans="1:8" ht="15" thickBot="1">
      <c r="A21" s="400"/>
      <c r="B21" s="237" t="s">
        <v>22</v>
      </c>
      <c r="C21" s="103">
        <v>10</v>
      </c>
      <c r="D21" s="103" t="s">
        <v>7</v>
      </c>
      <c r="E21" s="104" t="s">
        <v>14</v>
      </c>
    </row>
    <row r="22" spans="1:8" ht="15" thickBot="1">
      <c r="E22" t="s">
        <v>78</v>
      </c>
    </row>
    <row r="23" spans="1:8">
      <c r="A23" s="401" t="s">
        <v>45</v>
      </c>
      <c r="B23" s="105" t="s">
        <v>23</v>
      </c>
      <c r="C23" s="64">
        <f>1217/12</f>
        <v>101.41666666666667</v>
      </c>
      <c r="D23" s="65">
        <v>45808</v>
      </c>
    </row>
    <row r="24" spans="1:8" ht="15" thickBot="1">
      <c r="A24" s="402"/>
      <c r="B24" s="106" t="s">
        <v>71</v>
      </c>
      <c r="C24" s="66" t="s">
        <v>79</v>
      </c>
      <c r="D24" s="67">
        <v>45797</v>
      </c>
      <c r="E24" t="s">
        <v>75</v>
      </c>
      <c r="F24" t="s">
        <v>46</v>
      </c>
      <c r="H24">
        <v>33000</v>
      </c>
    </row>
    <row r="25" spans="1:8" ht="15" thickBot="1">
      <c r="H25">
        <v>109</v>
      </c>
    </row>
    <row r="26" spans="1:8">
      <c r="A26" s="392" t="s">
        <v>57</v>
      </c>
      <c r="B26" s="68" t="s">
        <v>58</v>
      </c>
      <c r="C26" s="69">
        <v>1253</v>
      </c>
      <c r="D26" s="70">
        <v>45961</v>
      </c>
    </row>
    <row r="27" spans="1:8" ht="15" thickBot="1">
      <c r="A27" s="393"/>
      <c r="B27" s="71" t="s">
        <v>59</v>
      </c>
      <c r="C27" s="72">
        <v>1891</v>
      </c>
      <c r="D27" s="73">
        <v>45961</v>
      </c>
    </row>
    <row r="28" spans="1:8" ht="15" thickBot="1"/>
    <row r="29" spans="1:8" ht="15.75" thickBot="1">
      <c r="A29" s="247" t="s">
        <v>16</v>
      </c>
      <c r="B29" s="74"/>
      <c r="C29" s="75"/>
      <c r="D29" s="75"/>
      <c r="E29" s="75"/>
      <c r="F29" s="76">
        <v>45131</v>
      </c>
      <c r="G29" s="76">
        <v>45713</v>
      </c>
    </row>
    <row r="30" spans="1:8" ht="15.75" thickBot="1">
      <c r="A30" s="124" t="s">
        <v>68</v>
      </c>
      <c r="B30" s="245" t="s">
        <v>157</v>
      </c>
      <c r="C30" s="125">
        <v>168637381</v>
      </c>
      <c r="D30" s="125"/>
      <c r="E30" s="125">
        <v>0.82</v>
      </c>
      <c r="F30" s="126">
        <v>0</v>
      </c>
      <c r="G30" s="76"/>
    </row>
    <row r="31" spans="1:8">
      <c r="A31" s="77" t="s">
        <v>17</v>
      </c>
      <c r="B31" s="78" t="s">
        <v>18</v>
      </c>
      <c r="C31" s="79"/>
      <c r="D31" s="79"/>
      <c r="E31" s="79">
        <v>0.65</v>
      </c>
      <c r="F31" s="80">
        <v>23111.25</v>
      </c>
      <c r="G31" s="76">
        <v>31298</v>
      </c>
    </row>
    <row r="32" spans="1:8" ht="15" thickBot="1">
      <c r="A32" s="81" t="s">
        <v>19</v>
      </c>
      <c r="B32" s="82" t="s">
        <v>18</v>
      </c>
      <c r="C32" s="83"/>
      <c r="D32" s="83"/>
      <c r="E32" s="83">
        <v>0.65</v>
      </c>
      <c r="F32" s="249">
        <v>17671.04</v>
      </c>
      <c r="G32" s="80">
        <v>23931</v>
      </c>
    </row>
    <row r="33" spans="1:7" ht="15" thickBot="1">
      <c r="B33" s="34"/>
    </row>
    <row r="34" spans="1:7" ht="15">
      <c r="A34" s="248" t="s">
        <v>20</v>
      </c>
      <c r="B34" s="84"/>
      <c r="C34" s="85"/>
      <c r="D34" s="85"/>
      <c r="E34" s="85"/>
      <c r="F34" s="86">
        <v>45107</v>
      </c>
      <c r="G34" s="87">
        <v>45317</v>
      </c>
    </row>
    <row r="35" spans="1:7">
      <c r="A35" s="88" t="s">
        <v>17</v>
      </c>
      <c r="B35" s="89" t="s">
        <v>21</v>
      </c>
      <c r="C35" s="90"/>
      <c r="D35" s="90"/>
      <c r="E35" s="90">
        <v>0.23</v>
      </c>
      <c r="F35" s="91">
        <v>10768.42</v>
      </c>
      <c r="G35" s="92">
        <v>11900</v>
      </c>
    </row>
    <row r="36" spans="1:7" ht="15" thickBot="1">
      <c r="A36" s="93" t="s">
        <v>19</v>
      </c>
      <c r="B36" s="94" t="s">
        <v>21</v>
      </c>
      <c r="C36" s="95"/>
      <c r="D36" s="95"/>
      <c r="E36" s="95">
        <v>0.23</v>
      </c>
      <c r="F36" s="96">
        <v>9605.3799999999992</v>
      </c>
      <c r="G36" s="250">
        <v>10744.8</v>
      </c>
    </row>
    <row r="38" spans="1:7" ht="15" thickBot="1"/>
    <row r="39" spans="1:7">
      <c r="C39" s="241" t="s">
        <v>82</v>
      </c>
      <c r="D39" s="242"/>
      <c r="E39" s="242"/>
      <c r="F39" s="243"/>
    </row>
    <row r="40" spans="1:7">
      <c r="C40" s="141" t="s">
        <v>72</v>
      </c>
      <c r="D40" s="139">
        <v>95</v>
      </c>
      <c r="E40" s="127"/>
      <c r="F40" s="138" t="s">
        <v>83</v>
      </c>
    </row>
    <row r="41" spans="1:7">
      <c r="B41" s="136"/>
      <c r="C41" s="141" t="s">
        <v>73</v>
      </c>
      <c r="D41" s="139">
        <v>121.7</v>
      </c>
      <c r="E41" s="137">
        <v>46017</v>
      </c>
      <c r="F41" s="138" t="s">
        <v>84</v>
      </c>
    </row>
    <row r="42" spans="1:7">
      <c r="B42" s="136"/>
      <c r="C42" s="141" t="s">
        <v>74</v>
      </c>
      <c r="D42" s="139">
        <v>38.14</v>
      </c>
      <c r="E42" s="137">
        <v>46012</v>
      </c>
      <c r="F42" s="138" t="s">
        <v>86</v>
      </c>
    </row>
    <row r="43" spans="1:7">
      <c r="B43" s="136"/>
      <c r="C43" s="141" t="s">
        <v>75</v>
      </c>
      <c r="D43" s="139">
        <v>81.650000000000006</v>
      </c>
      <c r="E43" s="137">
        <v>46003</v>
      </c>
      <c r="F43" s="138" t="s">
        <v>85</v>
      </c>
    </row>
    <row r="44" spans="1:7">
      <c r="B44" s="136"/>
      <c r="C44" s="141" t="s">
        <v>76</v>
      </c>
      <c r="D44" s="139">
        <v>43.77</v>
      </c>
      <c r="E44" s="137">
        <v>46001</v>
      </c>
      <c r="F44" s="138" t="s">
        <v>65</v>
      </c>
    </row>
    <row r="45" spans="1:7" ht="15" thickBot="1">
      <c r="B45" s="136"/>
      <c r="C45" s="142" t="s">
        <v>87</v>
      </c>
      <c r="D45" s="140">
        <f>SUM(D40:D44)</f>
        <v>380.26</v>
      </c>
      <c r="E45" s="3"/>
      <c r="F45" s="50"/>
    </row>
  </sheetData>
  <mergeCells count="6">
    <mergeCell ref="A26:A27"/>
    <mergeCell ref="D4:E4"/>
    <mergeCell ref="A6:A9"/>
    <mergeCell ref="A11:A15"/>
    <mergeCell ref="A19:A21"/>
    <mergeCell ref="A23:A24"/>
  </mergeCells>
  <hyperlinks>
    <hyperlink ref="B31" r:id="rId1" display="https://www.fnx.co.il/gemel/gemelhashkaa/tzgemelhashkaa/7907" xr:uid="{B9895E4D-17DB-41D1-A76A-B2CBA8D0AE9F}"/>
    <hyperlink ref="B32" r:id="rId2" display="https://www.fnx.co.il/gemel/gemelhashkaa/tzgemelhashkaa/7907" xr:uid="{3EC3322C-5CA6-4BFB-AF7E-1A3BB098CA98}"/>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E7454-3CD6-4F74-8B7A-B09EF17B3AA6}">
  <dimension ref="A1:J20"/>
  <sheetViews>
    <sheetView rightToLeft="1" topLeftCell="A13" workbookViewId="0">
      <selection activeCell="B18" sqref="B18"/>
    </sheetView>
  </sheetViews>
  <sheetFormatPr defaultRowHeight="14.25"/>
  <cols>
    <col min="2" max="2" width="9.875" bestFit="1" customWidth="1"/>
    <col min="3" max="3" width="10.625" bestFit="1" customWidth="1"/>
    <col min="5" max="5" width="17.625" bestFit="1" customWidth="1"/>
    <col min="6" max="7" width="9.875" bestFit="1" customWidth="1"/>
    <col min="8" max="8" width="20.625" bestFit="1" customWidth="1"/>
  </cols>
  <sheetData>
    <row r="1" spans="1:10" ht="15">
      <c r="A1" s="123" t="s">
        <v>24</v>
      </c>
      <c r="B1" s="123"/>
      <c r="C1" s="123"/>
      <c r="D1" s="123"/>
      <c r="E1" s="121"/>
    </row>
    <row r="2" spans="1:10" ht="15" thickBot="1">
      <c r="D2" t="s">
        <v>37</v>
      </c>
      <c r="E2" t="s">
        <v>38</v>
      </c>
    </row>
    <row r="3" spans="1:10" ht="60">
      <c r="A3" s="41" t="s">
        <v>25</v>
      </c>
      <c r="B3" s="42" t="s">
        <v>26</v>
      </c>
      <c r="C3" s="42" t="s">
        <v>27</v>
      </c>
      <c r="D3" s="42" t="s">
        <v>28</v>
      </c>
      <c r="E3" s="42" t="s">
        <v>28</v>
      </c>
      <c r="F3" s="42" t="s">
        <v>30</v>
      </c>
      <c r="G3" s="42" t="s">
        <v>31</v>
      </c>
      <c r="H3" s="43" t="s">
        <v>39</v>
      </c>
    </row>
    <row r="4" spans="1:10" ht="57">
      <c r="A4" s="44" t="s">
        <v>32</v>
      </c>
      <c r="B4" s="39" t="s">
        <v>33</v>
      </c>
      <c r="C4" s="39"/>
      <c r="D4" s="39">
        <f>16.86*2</f>
        <v>33.72</v>
      </c>
      <c r="E4" s="39">
        <f>4.52*2</f>
        <v>9.0399999999999991</v>
      </c>
      <c r="F4" s="40">
        <v>43252</v>
      </c>
      <c r="G4" s="39" t="s">
        <v>14</v>
      </c>
      <c r="H4" s="45"/>
      <c r="I4">
        <v>16.78</v>
      </c>
    </row>
    <row r="5" spans="1:10" ht="85.5">
      <c r="A5" s="44" t="s">
        <v>34</v>
      </c>
      <c r="B5" s="39" t="s">
        <v>35</v>
      </c>
      <c r="C5" s="39"/>
      <c r="D5" s="39">
        <f>19.7*2</f>
        <v>39.4</v>
      </c>
      <c r="E5" s="39">
        <f>6.37*2</f>
        <v>12.74</v>
      </c>
      <c r="F5" s="40">
        <v>43252</v>
      </c>
      <c r="G5" s="39" t="s">
        <v>14</v>
      </c>
      <c r="H5" s="46">
        <f>SUM(D4:D6)+SUM(E4:E6)</f>
        <v>136.64000000000001</v>
      </c>
      <c r="I5">
        <v>19.61</v>
      </c>
    </row>
    <row r="6" spans="1:10" ht="43.5" thickBot="1">
      <c r="A6" s="47" t="s">
        <v>36</v>
      </c>
      <c r="B6" s="48" t="s">
        <v>33</v>
      </c>
      <c r="C6" s="48"/>
      <c r="D6" s="48">
        <f>15.89*2</f>
        <v>31.78</v>
      </c>
      <c r="E6" s="48">
        <f>4.98*2</f>
        <v>9.9600000000000009</v>
      </c>
      <c r="F6" s="49">
        <v>43252</v>
      </c>
      <c r="G6" s="48" t="s">
        <v>14</v>
      </c>
      <c r="H6" s="50"/>
      <c r="I6">
        <v>15.81</v>
      </c>
    </row>
    <row r="7" spans="1:10" ht="30.75" thickBot="1">
      <c r="A7" s="38" t="s">
        <v>60</v>
      </c>
      <c r="B7" s="122"/>
    </row>
    <row r="8" spans="1:10" ht="60">
      <c r="A8" s="41" t="s">
        <v>25</v>
      </c>
      <c r="B8" s="42" t="s">
        <v>26</v>
      </c>
      <c r="C8" s="42" t="s">
        <v>27</v>
      </c>
      <c r="D8" s="42" t="s">
        <v>28</v>
      </c>
      <c r="E8" s="42" t="s">
        <v>29</v>
      </c>
      <c r="F8" s="42" t="s">
        <v>30</v>
      </c>
      <c r="G8" s="53" t="s">
        <v>31</v>
      </c>
      <c r="H8" s="55" t="s">
        <v>38</v>
      </c>
      <c r="I8" s="133" t="s">
        <v>39</v>
      </c>
      <c r="J8" s="133" t="s">
        <v>78</v>
      </c>
    </row>
    <row r="9" spans="1:10" ht="114">
      <c r="A9" s="44" t="s">
        <v>40</v>
      </c>
      <c r="B9" s="39" t="s">
        <v>35</v>
      </c>
      <c r="C9" s="39"/>
      <c r="D9" s="39"/>
      <c r="E9" s="39"/>
      <c r="F9" s="40">
        <v>44256</v>
      </c>
      <c r="G9" s="54">
        <v>46081</v>
      </c>
      <c r="H9" s="56" t="s">
        <v>81</v>
      </c>
      <c r="I9" s="134">
        <v>193.12</v>
      </c>
      <c r="J9" s="135" t="s">
        <v>74</v>
      </c>
    </row>
    <row r="10" spans="1:10" ht="85.5">
      <c r="A10" s="44" t="s">
        <v>41</v>
      </c>
      <c r="B10" s="39" t="s">
        <v>35</v>
      </c>
      <c r="C10" s="39"/>
      <c r="D10" s="51" t="s">
        <v>324</v>
      </c>
      <c r="E10" s="39"/>
      <c r="F10" s="40">
        <v>44256</v>
      </c>
      <c r="G10" s="54">
        <v>46081</v>
      </c>
      <c r="H10" s="56" t="s">
        <v>48</v>
      </c>
    </row>
    <row r="11" spans="1:10" ht="71.25">
      <c r="A11" s="44" t="s">
        <v>42</v>
      </c>
      <c r="B11" s="39" t="s">
        <v>35</v>
      </c>
      <c r="C11" s="39"/>
      <c r="D11" s="39"/>
      <c r="E11" s="39"/>
      <c r="F11" s="40">
        <v>44256</v>
      </c>
      <c r="G11" s="54">
        <v>46081</v>
      </c>
      <c r="H11" s="56" t="s">
        <v>47</v>
      </c>
    </row>
    <row r="12" spans="1:10" ht="100.5" thickBot="1">
      <c r="A12" s="44" t="s">
        <v>43</v>
      </c>
      <c r="B12" s="39" t="s">
        <v>35</v>
      </c>
      <c r="C12" s="39"/>
      <c r="D12" s="39"/>
      <c r="E12" s="39"/>
      <c r="F12" s="40">
        <v>44256</v>
      </c>
      <c r="G12" s="54">
        <v>46081</v>
      </c>
      <c r="H12" s="57" t="s">
        <v>49</v>
      </c>
    </row>
    <row r="13" spans="1:10" ht="100.5" thickBot="1">
      <c r="A13" s="47" t="s">
        <v>44</v>
      </c>
      <c r="B13" s="48" t="s">
        <v>35</v>
      </c>
      <c r="C13" s="48"/>
      <c r="D13" s="48"/>
      <c r="E13" s="48"/>
      <c r="F13" s="49">
        <v>44256</v>
      </c>
      <c r="G13" s="52">
        <v>46081</v>
      </c>
      <c r="H13" s="121"/>
    </row>
    <row r="14" spans="1:10" ht="15" thickBot="1"/>
    <row r="15" spans="1:10" ht="29.25" thickBot="1">
      <c r="A15" s="128" t="s">
        <v>61</v>
      </c>
      <c r="B15" s="129" t="s">
        <v>62</v>
      </c>
      <c r="C15" s="130" t="s">
        <v>63</v>
      </c>
      <c r="D15" s="130" t="s">
        <v>66</v>
      </c>
      <c r="E15" s="310" t="s">
        <v>67</v>
      </c>
      <c r="F15" t="s">
        <v>78</v>
      </c>
    </row>
    <row r="16" spans="1:10" ht="42.75">
      <c r="A16" s="44" t="s">
        <v>307</v>
      </c>
      <c r="B16" s="302"/>
      <c r="C16" s="127" t="s">
        <v>64</v>
      </c>
      <c r="D16" s="308">
        <v>0</v>
      </c>
      <c r="E16" s="405" t="s">
        <v>314</v>
      </c>
    </row>
    <row r="17" spans="1:6" ht="29.25" thickBot="1">
      <c r="A17" s="44" t="s">
        <v>306</v>
      </c>
      <c r="B17" s="127"/>
      <c r="C17" s="127" t="s">
        <v>64</v>
      </c>
      <c r="D17" s="309">
        <v>67.900000000000006</v>
      </c>
      <c r="E17" s="406"/>
    </row>
    <row r="18" spans="1:6" ht="29.25" thickBot="1">
      <c r="A18" s="304" t="s">
        <v>65</v>
      </c>
      <c r="B18" s="305"/>
      <c r="C18" s="305" t="s">
        <v>70</v>
      </c>
      <c r="D18" s="311">
        <v>43.77</v>
      </c>
      <c r="E18" s="312" t="s">
        <v>69</v>
      </c>
      <c r="F18" s="132" t="s">
        <v>77</v>
      </c>
    </row>
    <row r="19" spans="1:6" ht="28.5">
      <c r="A19" s="128" t="s">
        <v>309</v>
      </c>
      <c r="B19" s="130" t="s">
        <v>311</v>
      </c>
      <c r="C19" s="130" t="s">
        <v>310</v>
      </c>
      <c r="D19" s="306">
        <v>62.02</v>
      </c>
      <c r="E19" s="403" t="s">
        <v>313</v>
      </c>
    </row>
    <row r="20" spans="1:6" ht="29.25" thickBot="1">
      <c r="A20" s="47" t="s">
        <v>309</v>
      </c>
      <c r="B20" s="3" t="s">
        <v>312</v>
      </c>
      <c r="C20" s="3" t="s">
        <v>310</v>
      </c>
      <c r="D20" s="307">
        <v>9.93</v>
      </c>
      <c r="E20" s="404"/>
    </row>
  </sheetData>
  <mergeCells count="2">
    <mergeCell ref="E19:E20"/>
    <mergeCell ref="E16:E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9BD5D-50B1-4A31-A791-49C90F62A79E}">
  <dimension ref="A4:F19"/>
  <sheetViews>
    <sheetView rightToLeft="1" workbookViewId="0">
      <selection activeCell="B10" sqref="B10"/>
    </sheetView>
  </sheetViews>
  <sheetFormatPr defaultRowHeight="14.25"/>
  <cols>
    <col min="1" max="1" width="21" bestFit="1" customWidth="1"/>
    <col min="2" max="2" width="132.625" bestFit="1" customWidth="1"/>
    <col min="3" max="3" width="13" bestFit="1" customWidth="1"/>
    <col min="6" max="6" width="11.875" bestFit="1" customWidth="1"/>
  </cols>
  <sheetData>
    <row r="4" spans="1:6">
      <c r="D4" s="394" t="s">
        <v>1</v>
      </c>
      <c r="E4" s="394"/>
    </row>
    <row r="5" spans="1:6" ht="15" thickBot="1">
      <c r="C5" s="1" t="s">
        <v>4</v>
      </c>
      <c r="D5" s="1" t="s">
        <v>2</v>
      </c>
      <c r="E5" s="1" t="s">
        <v>3</v>
      </c>
    </row>
    <row r="6" spans="1:6" ht="15" customHeight="1" thickBot="1">
      <c r="A6" s="277" t="s">
        <v>0</v>
      </c>
      <c r="B6" s="59" t="s">
        <v>272</v>
      </c>
      <c r="C6" s="6"/>
      <c r="D6" s="7">
        <v>1.5</v>
      </c>
      <c r="E6" s="284">
        <v>0.05</v>
      </c>
      <c r="F6" s="279">
        <v>693564.37</v>
      </c>
    </row>
    <row r="7" spans="1:6" ht="15" customHeight="1" thickBot="1">
      <c r="A7" s="278"/>
      <c r="B7" s="276" t="s">
        <v>273</v>
      </c>
      <c r="C7" s="7">
        <f>H7*(6+6.5+8.33-1.5)/100</f>
        <v>0</v>
      </c>
      <c r="D7" s="7">
        <v>1.5</v>
      </c>
      <c r="E7" s="284">
        <v>0.05</v>
      </c>
      <c r="F7" s="279">
        <v>35006.9</v>
      </c>
    </row>
    <row r="8" spans="1:6" ht="15" thickBot="1">
      <c r="F8" s="279"/>
    </row>
    <row r="9" spans="1:6" ht="14.25" customHeight="1">
      <c r="A9" s="407" t="s">
        <v>54</v>
      </c>
      <c r="B9" s="281" t="s">
        <v>346</v>
      </c>
      <c r="C9" s="282"/>
      <c r="D9" s="130"/>
      <c r="E9" s="131">
        <v>0.5</v>
      </c>
      <c r="F9" s="279">
        <v>94239.58</v>
      </c>
    </row>
    <row r="10" spans="1:6" ht="14.25" customHeight="1">
      <c r="A10" s="408"/>
      <c r="B10" s="280" t="s">
        <v>347</v>
      </c>
      <c r="C10" s="127"/>
      <c r="D10" s="127"/>
      <c r="E10" s="45">
        <v>0.5</v>
      </c>
      <c r="F10" s="279">
        <v>144655.54</v>
      </c>
    </row>
    <row r="11" spans="1:6" ht="14.25" customHeight="1" thickBot="1">
      <c r="A11" s="409"/>
      <c r="B11" s="283" t="s">
        <v>274</v>
      </c>
      <c r="C11" s="3"/>
      <c r="D11" s="3"/>
      <c r="E11" s="50"/>
      <c r="F11" s="279"/>
    </row>
    <row r="12" spans="1:6" ht="15" customHeight="1"/>
    <row r="19" spans="2:2">
      <c r="B19" t="s">
        <v>275</v>
      </c>
    </row>
  </sheetData>
  <mergeCells count="2">
    <mergeCell ref="D4:E4"/>
    <mergeCell ref="A9:A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43"/>
  <sheetViews>
    <sheetView rightToLeft="1" tabSelected="1" zoomScale="85" zoomScaleNormal="85" workbookViewId="0">
      <selection activeCell="B38" sqref="B38"/>
    </sheetView>
  </sheetViews>
  <sheetFormatPr defaultRowHeight="14.25"/>
  <cols>
    <col min="1" max="1" width="33" bestFit="1" customWidth="1"/>
    <col min="2" max="2" width="77.875" customWidth="1"/>
    <col min="3" max="3" width="21.25" customWidth="1"/>
    <col min="4" max="4" width="21.75" bestFit="1" customWidth="1"/>
    <col min="5" max="5" width="19.25" bestFit="1" customWidth="1"/>
    <col min="6" max="6" width="27.125" bestFit="1" customWidth="1"/>
    <col min="7" max="7" width="10.625" bestFit="1" customWidth="1"/>
    <col min="9" max="12" width="0" hidden="1" customWidth="1"/>
    <col min="13" max="13" width="32.25" hidden="1" customWidth="1"/>
  </cols>
  <sheetData>
    <row r="2" spans="1:18" ht="15">
      <c r="A2" s="251">
        <v>45669</v>
      </c>
    </row>
    <row r="4" spans="1:18">
      <c r="D4" s="394" t="s">
        <v>1</v>
      </c>
      <c r="E4" s="394"/>
      <c r="I4" s="2">
        <v>44579</v>
      </c>
      <c r="J4" s="2">
        <v>44707</v>
      </c>
      <c r="K4" s="2">
        <v>44865</v>
      </c>
      <c r="L4" s="2">
        <v>44940</v>
      </c>
      <c r="M4" s="2">
        <v>45085</v>
      </c>
      <c r="N4" s="2">
        <v>45103</v>
      </c>
      <c r="O4" s="2">
        <v>45479</v>
      </c>
      <c r="P4" s="2">
        <v>45609</v>
      </c>
      <c r="Q4" s="2">
        <v>45801</v>
      </c>
      <c r="R4" s="2">
        <v>45962</v>
      </c>
    </row>
    <row r="5" spans="1:18" ht="15" thickBot="1">
      <c r="C5" s="1" t="s">
        <v>4</v>
      </c>
      <c r="D5" s="1" t="s">
        <v>2</v>
      </c>
      <c r="E5" s="1" t="s">
        <v>3</v>
      </c>
      <c r="F5" s="1" t="s">
        <v>5</v>
      </c>
      <c r="G5" s="1" t="s">
        <v>6</v>
      </c>
      <c r="H5" s="1" t="s">
        <v>192</v>
      </c>
      <c r="I5" s="1" t="s">
        <v>10</v>
      </c>
      <c r="J5" s="1" t="s">
        <v>10</v>
      </c>
      <c r="K5" s="1" t="s">
        <v>10</v>
      </c>
      <c r="L5" s="1" t="s">
        <v>10</v>
      </c>
    </row>
    <row r="6" spans="1:18" ht="15.75" thickBot="1">
      <c r="A6" s="277" t="s">
        <v>0</v>
      </c>
      <c r="B6" s="59" t="s">
        <v>55</v>
      </c>
      <c r="C6" s="6"/>
      <c r="D6" s="7">
        <v>1.75</v>
      </c>
      <c r="E6" s="7">
        <v>8.4000000000000005E-2</v>
      </c>
      <c r="F6" s="8">
        <v>0.06</v>
      </c>
      <c r="G6" s="9">
        <v>6.5000000000000002E-2</v>
      </c>
      <c r="H6" s="6">
        <v>5140</v>
      </c>
      <c r="I6" s="11"/>
      <c r="J6" s="21"/>
      <c r="K6" s="22"/>
      <c r="L6" s="23"/>
      <c r="O6" s="28"/>
      <c r="P6" s="28">
        <v>563121</v>
      </c>
      <c r="Q6" s="28">
        <v>568209</v>
      </c>
    </row>
    <row r="7" spans="1:18" ht="15.75" thickBot="1">
      <c r="A7" s="278"/>
      <c r="B7" s="61" t="s">
        <v>56</v>
      </c>
      <c r="C7" s="10"/>
      <c r="D7" s="10">
        <v>1</v>
      </c>
      <c r="E7" s="10">
        <v>0.18</v>
      </c>
      <c r="F7" s="35">
        <v>0.06</v>
      </c>
      <c r="G7" s="36">
        <v>6.5000000000000002E-2</v>
      </c>
      <c r="H7" s="10">
        <v>698</v>
      </c>
      <c r="I7" s="37"/>
      <c r="J7" s="15"/>
      <c r="K7" s="107"/>
      <c r="L7" s="108"/>
      <c r="O7" s="28"/>
      <c r="P7" s="28">
        <v>18900</v>
      </c>
      <c r="Q7" s="28">
        <v>20130</v>
      </c>
    </row>
    <row r="8" spans="1:18" ht="15" thickBot="1"/>
    <row r="9" spans="1:18" ht="15.75" thickBot="1">
      <c r="A9" s="395" t="s">
        <v>54</v>
      </c>
      <c r="B9" s="316" t="s">
        <v>350</v>
      </c>
      <c r="C9" s="7" t="s">
        <v>80</v>
      </c>
      <c r="D9" s="110" t="s">
        <v>7</v>
      </c>
      <c r="E9" s="110" t="s">
        <v>7</v>
      </c>
      <c r="F9" s="110" t="s">
        <v>154</v>
      </c>
      <c r="G9" s="110" t="s">
        <v>7</v>
      </c>
      <c r="H9" s="6"/>
      <c r="I9" s="111" t="s">
        <v>7</v>
      </c>
      <c r="J9" s="112" t="s">
        <v>7</v>
      </c>
      <c r="K9" s="113"/>
      <c r="L9" s="114" t="s">
        <v>7</v>
      </c>
      <c r="M9" s="115" t="s">
        <v>15</v>
      </c>
      <c r="O9" s="28"/>
      <c r="P9" s="28"/>
      <c r="Q9" s="28">
        <v>21315</v>
      </c>
    </row>
    <row r="10" spans="1:18" ht="15">
      <c r="A10" s="396"/>
      <c r="B10" s="317" t="s">
        <v>349</v>
      </c>
      <c r="C10" s="16" t="s">
        <v>156</v>
      </c>
      <c r="D10" s="325" t="s">
        <v>325</v>
      </c>
      <c r="E10" s="16">
        <v>0.7</v>
      </c>
      <c r="F10" s="25">
        <v>2.5000000000000001E-2</v>
      </c>
      <c r="G10" s="25">
        <v>7.4999999999999997E-2</v>
      </c>
      <c r="H10" s="24">
        <v>2803</v>
      </c>
      <c r="I10" s="26"/>
      <c r="J10" s="27"/>
      <c r="K10" s="27"/>
      <c r="L10" s="27"/>
      <c r="M10" s="116">
        <v>62655</v>
      </c>
      <c r="N10" s="28">
        <v>69299</v>
      </c>
      <c r="O10" s="28">
        <v>108599</v>
      </c>
      <c r="P10" s="28">
        <v>124624</v>
      </c>
      <c r="Q10" s="28">
        <v>146750</v>
      </c>
      <c r="R10" s="28">
        <v>167568</v>
      </c>
    </row>
    <row r="11" spans="1:18" ht="15.75" thickBot="1">
      <c r="A11" s="396"/>
      <c r="B11" s="318" t="s">
        <v>348</v>
      </c>
      <c r="C11" s="10"/>
      <c r="D11" s="324" t="s">
        <v>326</v>
      </c>
      <c r="E11" s="10" t="s">
        <v>155</v>
      </c>
      <c r="F11" s="36"/>
      <c r="G11" s="36"/>
      <c r="H11" s="319"/>
      <c r="I11" s="37"/>
      <c r="J11" s="15"/>
      <c r="K11" s="15"/>
      <c r="L11" s="15"/>
      <c r="M11" s="116"/>
      <c r="N11" s="28"/>
      <c r="O11" s="28"/>
      <c r="P11" s="28">
        <v>53605</v>
      </c>
      <c r="Q11" s="28">
        <v>52570</v>
      </c>
      <c r="R11" s="28">
        <v>52412</v>
      </c>
    </row>
    <row r="12" spans="1:18" ht="15" thickBot="1"/>
    <row r="13" spans="1:18" ht="15.75" thickBot="1">
      <c r="A13" s="246" t="s">
        <v>8</v>
      </c>
      <c r="B13" s="238" t="s">
        <v>11</v>
      </c>
      <c r="C13" s="239">
        <v>75</v>
      </c>
      <c r="D13" s="239"/>
      <c r="E13" s="240">
        <v>46076</v>
      </c>
      <c r="F13" t="s">
        <v>300</v>
      </c>
    </row>
    <row r="14" spans="1:18" ht="15" thickBot="1"/>
    <row r="15" spans="1:18">
      <c r="A15" s="398" t="s">
        <v>9</v>
      </c>
      <c r="B15" s="119" t="s">
        <v>12</v>
      </c>
      <c r="C15" s="99">
        <v>19.899999999999999</v>
      </c>
      <c r="D15" s="100" t="s">
        <v>7</v>
      </c>
      <c r="E15" s="101">
        <v>45550</v>
      </c>
    </row>
    <row r="16" spans="1:18">
      <c r="A16" s="399"/>
      <c r="B16" s="120" t="s">
        <v>13</v>
      </c>
      <c r="C16" s="97">
        <v>21.9</v>
      </c>
      <c r="D16" s="98"/>
      <c r="E16" s="102" t="s">
        <v>14</v>
      </c>
    </row>
    <row r="17" spans="1:8" ht="15" thickBot="1">
      <c r="A17" s="400"/>
      <c r="B17" s="237" t="s">
        <v>22</v>
      </c>
      <c r="C17" s="103">
        <v>10</v>
      </c>
      <c r="D17" s="103" t="s">
        <v>7</v>
      </c>
      <c r="E17" s="104" t="s">
        <v>14</v>
      </c>
    </row>
    <row r="18" spans="1:8" ht="15" thickBot="1">
      <c r="E18" t="s">
        <v>78</v>
      </c>
    </row>
    <row r="19" spans="1:8">
      <c r="A19" s="401" t="s">
        <v>45</v>
      </c>
      <c r="B19" s="105" t="s">
        <v>351</v>
      </c>
      <c r="C19" s="303" t="s">
        <v>308</v>
      </c>
      <c r="D19" s="65">
        <v>46173</v>
      </c>
    </row>
    <row r="20" spans="1:8" ht="15" thickBot="1">
      <c r="A20" s="402"/>
      <c r="B20" s="106" t="s">
        <v>352</v>
      </c>
      <c r="C20" s="66">
        <v>96</v>
      </c>
      <c r="D20" s="67">
        <v>45797</v>
      </c>
      <c r="E20" t="s">
        <v>75</v>
      </c>
      <c r="F20" t="s">
        <v>46</v>
      </c>
    </row>
    <row r="21" spans="1:8" ht="15" thickBot="1"/>
    <row r="22" spans="1:8">
      <c r="A22" s="392" t="s">
        <v>57</v>
      </c>
      <c r="B22" s="68" t="s">
        <v>321</v>
      </c>
      <c r="C22" s="69">
        <v>1343</v>
      </c>
      <c r="D22" s="70">
        <v>46418</v>
      </c>
    </row>
    <row r="23" spans="1:8" ht="15" thickBot="1">
      <c r="A23" s="393"/>
      <c r="B23" s="71" t="s">
        <v>322</v>
      </c>
      <c r="C23" s="72">
        <v>1516</v>
      </c>
      <c r="D23" s="73">
        <v>46418</v>
      </c>
    </row>
    <row r="24" spans="1:8" ht="15" thickBot="1"/>
    <row r="25" spans="1:8" ht="15.75" thickBot="1">
      <c r="A25" s="247" t="s">
        <v>16</v>
      </c>
      <c r="B25" s="74"/>
      <c r="C25" s="75"/>
      <c r="D25" s="75"/>
      <c r="E25" s="320"/>
      <c r="F25" s="322">
        <v>45131</v>
      </c>
      <c r="G25" s="76">
        <v>45713</v>
      </c>
      <c r="H25" s="76">
        <v>45801</v>
      </c>
    </row>
    <row r="26" spans="1:8">
      <c r="A26" s="77" t="s">
        <v>17</v>
      </c>
      <c r="B26" s="78" t="s">
        <v>18</v>
      </c>
      <c r="C26" s="79"/>
      <c r="D26" s="79"/>
      <c r="E26" s="79">
        <v>0.65</v>
      </c>
      <c r="F26" s="321">
        <v>23111.25</v>
      </c>
      <c r="G26" s="323"/>
      <c r="H26" s="323">
        <v>30575</v>
      </c>
    </row>
    <row r="27" spans="1:8" ht="15" thickBot="1">
      <c r="A27" s="81" t="s">
        <v>19</v>
      </c>
      <c r="B27" s="82" t="s">
        <v>18</v>
      </c>
      <c r="C27" s="83"/>
      <c r="D27" s="83"/>
      <c r="E27" s="83">
        <v>0.65</v>
      </c>
      <c r="F27" s="249">
        <v>17671.04</v>
      </c>
      <c r="G27" s="249">
        <v>23931</v>
      </c>
      <c r="H27" s="249">
        <v>23378</v>
      </c>
    </row>
    <row r="28" spans="1:8" ht="15" thickBot="1">
      <c r="B28" s="34"/>
    </row>
    <row r="29" spans="1:8" ht="15.75" thickBot="1">
      <c r="A29" s="248" t="s">
        <v>20</v>
      </c>
      <c r="B29" s="84"/>
      <c r="C29" s="85"/>
      <c r="D29" s="85"/>
      <c r="E29" s="85"/>
      <c r="F29" s="313">
        <v>45107</v>
      </c>
      <c r="G29" s="315">
        <v>45317</v>
      </c>
    </row>
    <row r="30" spans="1:8">
      <c r="A30" s="88" t="s">
        <v>17</v>
      </c>
      <c r="B30" s="89" t="s">
        <v>21</v>
      </c>
      <c r="C30" s="90"/>
      <c r="D30" s="90"/>
      <c r="E30" s="90">
        <v>0.23</v>
      </c>
      <c r="F30" s="91">
        <v>10768.42</v>
      </c>
      <c r="G30" s="314">
        <v>11900</v>
      </c>
    </row>
    <row r="31" spans="1:8" ht="15" thickBot="1">
      <c r="A31" s="93" t="s">
        <v>19</v>
      </c>
      <c r="B31" s="94" t="s">
        <v>21</v>
      </c>
      <c r="C31" s="95"/>
      <c r="D31" s="95"/>
      <c r="E31" s="95">
        <v>0.23</v>
      </c>
      <c r="F31" s="96">
        <v>9605.3799999999992</v>
      </c>
      <c r="G31" s="250">
        <v>10744.8</v>
      </c>
    </row>
    <row r="33" spans="2:6" ht="15" thickBot="1"/>
    <row r="34" spans="2:6">
      <c r="C34" s="241" t="s">
        <v>82</v>
      </c>
      <c r="D34" s="242"/>
      <c r="E34" s="242"/>
      <c r="F34" s="243"/>
    </row>
    <row r="35" spans="2:6">
      <c r="C35" s="345" t="s">
        <v>72</v>
      </c>
      <c r="D35" s="346">
        <v>104</v>
      </c>
      <c r="E35" s="347">
        <v>45962</v>
      </c>
      <c r="F35" s="348" t="s">
        <v>83</v>
      </c>
    </row>
    <row r="36" spans="2:6">
      <c r="B36" s="136"/>
      <c r="C36" s="351" t="s">
        <v>73</v>
      </c>
      <c r="D36" s="352">
        <v>124.83</v>
      </c>
      <c r="E36" s="353">
        <v>45962</v>
      </c>
      <c r="F36" s="354" t="s">
        <v>84</v>
      </c>
    </row>
    <row r="37" spans="2:6">
      <c r="B37" s="136"/>
      <c r="C37" s="341" t="s">
        <v>315</v>
      </c>
      <c r="D37" s="342">
        <v>194.06</v>
      </c>
      <c r="E37" s="343">
        <v>45962</v>
      </c>
      <c r="F37" s="344" t="s">
        <v>316</v>
      </c>
    </row>
    <row r="38" spans="2:6">
      <c r="B38" s="136"/>
      <c r="C38" s="77" t="s">
        <v>74</v>
      </c>
      <c r="D38" s="78">
        <v>38.92</v>
      </c>
      <c r="E38" s="349">
        <v>45962</v>
      </c>
      <c r="F38" s="350" t="s">
        <v>86</v>
      </c>
    </row>
    <row r="39" spans="2:6">
      <c r="B39" s="136"/>
      <c r="C39" s="351" t="s">
        <v>75</v>
      </c>
      <c r="D39" s="352" t="s">
        <v>330</v>
      </c>
      <c r="E39" s="353">
        <v>45962</v>
      </c>
      <c r="F39" s="354" t="s">
        <v>85</v>
      </c>
    </row>
    <row r="40" spans="2:6">
      <c r="B40" s="136"/>
      <c r="C40" s="355" t="s">
        <v>76</v>
      </c>
      <c r="D40" s="356">
        <v>44.9</v>
      </c>
      <c r="E40" s="357">
        <v>45962</v>
      </c>
      <c r="F40" s="358" t="s">
        <v>65</v>
      </c>
    </row>
    <row r="41" spans="2:6">
      <c r="B41" s="136"/>
      <c r="C41" s="359" t="s">
        <v>309</v>
      </c>
      <c r="D41" s="360">
        <v>143.9</v>
      </c>
      <c r="E41" s="361" t="s">
        <v>320</v>
      </c>
      <c r="F41" s="362" t="s">
        <v>317</v>
      </c>
    </row>
    <row r="42" spans="2:6">
      <c r="B42" s="136"/>
      <c r="C42" s="359" t="s">
        <v>319</v>
      </c>
      <c r="D42" s="360">
        <v>135.86000000000001</v>
      </c>
      <c r="E42" s="361" t="s">
        <v>320</v>
      </c>
      <c r="F42" s="362" t="s">
        <v>318</v>
      </c>
    </row>
    <row r="43" spans="2:6" ht="15" thickBot="1">
      <c r="B43" s="136"/>
      <c r="C43" s="142" t="s">
        <v>87</v>
      </c>
      <c r="D43" s="140">
        <f>SUM(D35:D42)+101.7</f>
        <v>888.17000000000007</v>
      </c>
      <c r="E43" s="3"/>
      <c r="F43" s="50"/>
    </row>
  </sheetData>
  <mergeCells count="5">
    <mergeCell ref="A22:A23"/>
    <mergeCell ref="D4:E4"/>
    <mergeCell ref="A9:A11"/>
    <mergeCell ref="A15:A17"/>
    <mergeCell ref="A19:A20"/>
  </mergeCells>
  <hyperlinks>
    <hyperlink ref="B26" r:id="rId1" display="https://www.fnx.co.il/gemel/gemelhashkaa/tzgemelhashkaa/7907" xr:uid="{5E6DFF41-F1ED-45F2-B208-90DBF96F5A9B}"/>
    <hyperlink ref="B27" r:id="rId2" display="https://www.fnx.co.il/gemel/gemelhashkaa/tzgemelhashkaa/7907" xr:uid="{F479D0CE-6110-451A-8C3D-82179FE86A29}"/>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952E9-0FFC-4354-8928-C70497528643}">
  <dimension ref="A1:G66"/>
  <sheetViews>
    <sheetView rightToLeft="1" workbookViewId="0">
      <selection activeCell="F26" sqref="F26"/>
    </sheetView>
  </sheetViews>
  <sheetFormatPr defaultRowHeight="14.25"/>
  <cols>
    <col min="3" max="3" width="9.875" bestFit="1" customWidth="1"/>
    <col min="5" max="5" width="9.875" bestFit="1" customWidth="1"/>
  </cols>
  <sheetData>
    <row r="1" spans="1:7">
      <c r="C1" t="s">
        <v>91</v>
      </c>
      <c r="D1" s="232"/>
      <c r="E1" s="232"/>
    </row>
    <row r="2" spans="1:7">
      <c r="B2" t="s">
        <v>149</v>
      </c>
      <c r="C2" s="28">
        <v>66252</v>
      </c>
      <c r="D2" s="232"/>
      <c r="E2" s="232"/>
    </row>
    <row r="3" spans="1:7">
      <c r="B3" t="s">
        <v>150</v>
      </c>
      <c r="C3">
        <v>1277</v>
      </c>
      <c r="D3" s="232"/>
      <c r="E3" s="232"/>
    </row>
    <row r="4" spans="1:7">
      <c r="B4" t="s">
        <v>151</v>
      </c>
      <c r="C4" t="s">
        <v>152</v>
      </c>
      <c r="D4" s="232"/>
      <c r="E4" s="232"/>
    </row>
    <row r="5" spans="1:7">
      <c r="B5" t="s">
        <v>31</v>
      </c>
      <c r="C5" s="233">
        <v>47027</v>
      </c>
      <c r="D5" s="232"/>
      <c r="E5" s="232"/>
    </row>
    <row r="6" spans="1:7">
      <c r="E6" s="232"/>
    </row>
    <row r="7" spans="1:7">
      <c r="A7">
        <v>1</v>
      </c>
      <c r="B7" s="234">
        <v>45235</v>
      </c>
      <c r="C7" s="28">
        <v>1372.38</v>
      </c>
      <c r="D7" s="232"/>
      <c r="E7" s="232"/>
      <c r="F7" s="28"/>
      <c r="G7" s="235"/>
    </row>
    <row r="8" spans="1:7">
      <c r="A8">
        <v>2</v>
      </c>
      <c r="B8" s="234">
        <v>45265</v>
      </c>
      <c r="C8" s="28">
        <v>1277.1500000000001</v>
      </c>
      <c r="D8" s="232"/>
      <c r="E8" s="232"/>
      <c r="F8" s="28"/>
    </row>
    <row r="9" spans="1:7">
      <c r="A9">
        <v>3</v>
      </c>
      <c r="B9" s="234">
        <v>45296</v>
      </c>
      <c r="C9" s="28">
        <v>1280.46</v>
      </c>
      <c r="D9" s="232"/>
      <c r="E9" s="232"/>
      <c r="F9" s="28"/>
    </row>
    <row r="10" spans="1:7">
      <c r="A10">
        <v>4</v>
      </c>
      <c r="B10" s="234">
        <v>45327</v>
      </c>
      <c r="C10" s="28"/>
      <c r="D10" s="236"/>
      <c r="E10" s="232"/>
      <c r="F10" s="28"/>
    </row>
    <row r="11" spans="1:7">
      <c r="A11">
        <v>5</v>
      </c>
      <c r="B11" s="234">
        <v>45356</v>
      </c>
      <c r="C11" s="28"/>
      <c r="D11" s="236"/>
      <c r="E11" s="232"/>
      <c r="F11" s="28"/>
    </row>
    <row r="12" spans="1:7">
      <c r="A12">
        <v>6</v>
      </c>
      <c r="B12" s="234">
        <v>45387</v>
      </c>
      <c r="C12" s="28">
        <v>1269</v>
      </c>
      <c r="D12" s="236"/>
      <c r="E12" s="232"/>
      <c r="F12" s="28"/>
    </row>
    <row r="13" spans="1:7">
      <c r="A13">
        <v>7</v>
      </c>
      <c r="B13" s="234">
        <v>45417</v>
      </c>
      <c r="C13" s="28">
        <v>1269</v>
      </c>
      <c r="D13" s="236"/>
      <c r="E13" s="232"/>
      <c r="F13" s="28"/>
    </row>
    <row r="14" spans="1:7">
      <c r="A14">
        <v>8</v>
      </c>
      <c r="B14" s="234">
        <v>45448</v>
      </c>
      <c r="C14" s="28">
        <v>1269</v>
      </c>
      <c r="D14" s="236"/>
      <c r="E14" s="232"/>
      <c r="F14" s="28"/>
    </row>
    <row r="15" spans="1:7">
      <c r="A15">
        <v>9</v>
      </c>
      <c r="B15" s="234">
        <v>45478</v>
      </c>
      <c r="C15" s="28">
        <v>1269</v>
      </c>
      <c r="D15" s="28"/>
      <c r="E15" s="232"/>
      <c r="F15" s="28"/>
    </row>
    <row r="16" spans="1:7">
      <c r="A16">
        <v>10</v>
      </c>
      <c r="B16" s="234">
        <v>45509</v>
      </c>
      <c r="C16" s="28">
        <v>1269</v>
      </c>
      <c r="D16" s="28"/>
      <c r="E16" s="232"/>
      <c r="F16" s="28"/>
    </row>
    <row r="17" spans="1:6">
      <c r="A17">
        <v>11</v>
      </c>
      <c r="B17" s="234">
        <v>45540</v>
      </c>
      <c r="C17" s="28">
        <v>1269</v>
      </c>
      <c r="D17" s="28"/>
      <c r="E17" s="232"/>
      <c r="F17" s="28"/>
    </row>
    <row r="18" spans="1:6">
      <c r="A18">
        <v>12</v>
      </c>
      <c r="B18" s="234">
        <v>45570</v>
      </c>
      <c r="C18" s="28">
        <v>1269</v>
      </c>
      <c r="D18" s="28"/>
      <c r="E18" s="28"/>
      <c r="F18" s="28"/>
    </row>
    <row r="19" spans="1:6">
      <c r="A19">
        <v>13</v>
      </c>
      <c r="B19" s="234">
        <v>45601</v>
      </c>
      <c r="C19" s="28">
        <v>1269</v>
      </c>
      <c r="D19" s="28"/>
      <c r="E19" s="28"/>
      <c r="F19" s="28"/>
    </row>
    <row r="20" spans="1:6">
      <c r="A20">
        <v>14</v>
      </c>
      <c r="B20" s="234">
        <v>45631</v>
      </c>
      <c r="C20" s="28">
        <v>1269</v>
      </c>
      <c r="D20" s="28"/>
      <c r="E20" s="28"/>
      <c r="F20" s="28"/>
    </row>
    <row r="21" spans="1:6">
      <c r="A21">
        <v>15</v>
      </c>
      <c r="B21" s="234">
        <v>45662</v>
      </c>
      <c r="C21" s="28">
        <v>1269</v>
      </c>
      <c r="D21" s="28"/>
      <c r="E21" s="28"/>
      <c r="F21" s="28"/>
    </row>
    <row r="22" spans="1:6">
      <c r="B22" s="234">
        <v>45693</v>
      </c>
      <c r="C22" s="28">
        <v>1269</v>
      </c>
      <c r="D22" s="28"/>
      <c r="E22" s="28"/>
      <c r="F22" s="28"/>
    </row>
    <row r="23" spans="1:6">
      <c r="B23" s="234">
        <v>45732</v>
      </c>
      <c r="C23" s="28">
        <v>1269</v>
      </c>
      <c r="D23" s="28"/>
      <c r="E23" s="28"/>
      <c r="F23" s="28"/>
    </row>
    <row r="24" spans="1:6">
      <c r="B24" s="234">
        <v>45752</v>
      </c>
      <c r="C24" s="28">
        <v>1269</v>
      </c>
      <c r="D24" s="28"/>
      <c r="E24" s="28"/>
      <c r="F24" s="28"/>
    </row>
    <row r="25" spans="1:6">
      <c r="B25" s="234">
        <v>45782</v>
      </c>
      <c r="C25" s="28">
        <v>1269</v>
      </c>
      <c r="D25" s="28"/>
      <c r="E25" s="28"/>
      <c r="F25" s="28"/>
    </row>
    <row r="26" spans="1:6">
      <c r="B26" s="234">
        <v>45813</v>
      </c>
      <c r="C26" s="28"/>
      <c r="D26" s="28"/>
      <c r="E26" s="28"/>
      <c r="F26" s="28"/>
    </row>
    <row r="27" spans="1:6">
      <c r="B27" s="234">
        <v>45843</v>
      </c>
      <c r="C27" s="28"/>
      <c r="D27" s="28"/>
      <c r="E27" s="28"/>
      <c r="F27" s="28"/>
    </row>
    <row r="28" spans="1:6">
      <c r="B28" s="234">
        <v>45874</v>
      </c>
      <c r="C28" s="28"/>
      <c r="D28" s="28"/>
      <c r="E28" s="28"/>
      <c r="F28" s="28"/>
    </row>
    <row r="29" spans="1:6">
      <c r="B29" s="234">
        <v>45905</v>
      </c>
      <c r="C29" s="28"/>
      <c r="D29" s="28"/>
      <c r="E29" s="28"/>
      <c r="F29" s="28"/>
    </row>
    <row r="30" spans="1:6">
      <c r="B30" s="234">
        <v>45935</v>
      </c>
      <c r="C30" s="28"/>
      <c r="D30" s="28"/>
      <c r="E30" s="28"/>
      <c r="F30" s="28"/>
    </row>
    <row r="31" spans="1:6">
      <c r="B31" s="234">
        <v>45966</v>
      </c>
      <c r="C31" s="28"/>
      <c r="D31" s="28"/>
      <c r="E31" s="28"/>
      <c r="F31" s="28"/>
    </row>
    <row r="32" spans="1:6">
      <c r="B32" s="234">
        <v>45996</v>
      </c>
      <c r="C32" s="28"/>
      <c r="D32" s="28"/>
      <c r="E32" s="28"/>
      <c r="F32" s="28"/>
    </row>
    <row r="33" spans="2:6">
      <c r="B33" s="234">
        <v>46027</v>
      </c>
      <c r="C33" s="28"/>
      <c r="D33" s="28"/>
      <c r="E33" s="28"/>
      <c r="F33" s="28"/>
    </row>
    <row r="34" spans="2:6">
      <c r="B34" s="234">
        <v>46058</v>
      </c>
      <c r="C34" s="28"/>
      <c r="D34" s="28"/>
      <c r="E34" s="28"/>
      <c r="F34" s="28"/>
    </row>
    <row r="35" spans="2:6">
      <c r="B35" s="234">
        <v>46086</v>
      </c>
      <c r="C35" s="28"/>
      <c r="D35" s="28"/>
      <c r="E35" s="28"/>
      <c r="F35" s="28"/>
    </row>
    <row r="36" spans="2:6">
      <c r="B36" s="234">
        <v>46117</v>
      </c>
      <c r="C36" s="28"/>
      <c r="D36" s="28"/>
      <c r="E36" s="28"/>
    </row>
    <row r="37" spans="2:6">
      <c r="B37" s="234">
        <v>46147</v>
      </c>
      <c r="C37" s="28"/>
      <c r="D37" s="28"/>
      <c r="E37" s="28"/>
    </row>
    <row r="38" spans="2:6">
      <c r="B38" s="234">
        <v>46178</v>
      </c>
      <c r="C38" s="28"/>
      <c r="D38" s="28"/>
      <c r="E38" s="28"/>
    </row>
    <row r="39" spans="2:6">
      <c r="B39" s="234">
        <v>46208</v>
      </c>
      <c r="C39" s="28"/>
      <c r="D39" s="28"/>
      <c r="E39" s="28"/>
    </row>
    <row r="40" spans="2:6">
      <c r="B40" s="234">
        <v>46239</v>
      </c>
      <c r="C40" s="28"/>
      <c r="D40" s="28"/>
      <c r="E40" s="28"/>
    </row>
    <row r="41" spans="2:6">
      <c r="B41" s="234">
        <v>46270</v>
      </c>
      <c r="C41" s="28"/>
      <c r="D41" s="28"/>
      <c r="E41" s="28"/>
    </row>
    <row r="42" spans="2:6">
      <c r="B42" s="234">
        <v>46300</v>
      </c>
      <c r="C42" s="28"/>
      <c r="D42" s="28"/>
      <c r="E42" s="28"/>
    </row>
    <row r="43" spans="2:6">
      <c r="B43" s="234">
        <v>46331</v>
      </c>
      <c r="C43" s="28"/>
      <c r="D43" s="28"/>
      <c r="E43" s="28"/>
    </row>
    <row r="44" spans="2:6">
      <c r="B44" s="234">
        <v>46361</v>
      </c>
      <c r="C44" s="28"/>
      <c r="D44" s="28"/>
      <c r="E44" s="28"/>
    </row>
    <row r="45" spans="2:6">
      <c r="B45" s="234">
        <v>46392</v>
      </c>
      <c r="C45" s="28"/>
      <c r="D45" s="28"/>
      <c r="E45" s="28"/>
    </row>
    <row r="46" spans="2:6">
      <c r="B46" s="234">
        <v>46423</v>
      </c>
      <c r="C46" s="28"/>
      <c r="D46" s="28"/>
      <c r="E46" s="28"/>
    </row>
    <row r="47" spans="2:6">
      <c r="B47" s="234">
        <v>46451</v>
      </c>
      <c r="C47" s="28"/>
      <c r="D47" s="28"/>
      <c r="E47" s="28"/>
    </row>
    <row r="48" spans="2:6">
      <c r="B48" s="234">
        <v>46482</v>
      </c>
      <c r="C48" s="28"/>
      <c r="D48" s="28"/>
      <c r="E48" s="28"/>
    </row>
    <row r="49" spans="2:5">
      <c r="B49" s="234">
        <v>46512</v>
      </c>
      <c r="C49" s="28"/>
      <c r="D49" s="28"/>
      <c r="E49" s="28"/>
    </row>
    <row r="50" spans="2:5">
      <c r="B50" s="234">
        <v>46543</v>
      </c>
      <c r="C50" s="28"/>
      <c r="D50" s="28"/>
      <c r="E50" s="28"/>
    </row>
    <row r="51" spans="2:5">
      <c r="B51" s="234">
        <v>46573</v>
      </c>
      <c r="C51" s="28"/>
      <c r="D51" s="28"/>
      <c r="E51" s="28"/>
    </row>
    <row r="52" spans="2:5">
      <c r="B52" s="234">
        <v>46604</v>
      </c>
      <c r="C52" s="28"/>
      <c r="D52" s="28"/>
      <c r="E52" s="28"/>
    </row>
    <row r="53" spans="2:5">
      <c r="B53" s="234">
        <v>46635</v>
      </c>
      <c r="C53" s="28"/>
      <c r="D53" s="28"/>
      <c r="E53" s="28"/>
    </row>
    <row r="54" spans="2:5">
      <c r="B54" s="234">
        <v>46665</v>
      </c>
      <c r="C54" s="28"/>
      <c r="D54" s="28"/>
      <c r="E54" s="28"/>
    </row>
    <row r="55" spans="2:5">
      <c r="B55" s="234">
        <v>46696</v>
      </c>
      <c r="C55" s="28"/>
      <c r="D55" s="28"/>
      <c r="E55" s="28"/>
    </row>
    <row r="56" spans="2:5">
      <c r="B56" s="234">
        <v>46726</v>
      </c>
      <c r="C56" s="28"/>
      <c r="D56" s="28"/>
      <c r="E56" s="28"/>
    </row>
    <row r="57" spans="2:5">
      <c r="B57" s="234">
        <v>46757</v>
      </c>
      <c r="C57" s="28"/>
      <c r="D57" s="28"/>
      <c r="E57" s="28"/>
    </row>
    <row r="58" spans="2:5">
      <c r="B58" s="234">
        <v>46788</v>
      </c>
      <c r="C58" s="28"/>
      <c r="D58" s="28"/>
      <c r="E58" s="28"/>
    </row>
    <row r="59" spans="2:5">
      <c r="B59" s="234">
        <v>46817</v>
      </c>
      <c r="C59" s="28"/>
      <c r="D59" s="28"/>
      <c r="E59" s="28"/>
    </row>
    <row r="60" spans="2:5">
      <c r="B60" s="234">
        <v>46848</v>
      </c>
      <c r="C60" s="28"/>
      <c r="D60" s="28"/>
      <c r="E60" s="28"/>
    </row>
    <row r="61" spans="2:5">
      <c r="B61" s="234">
        <v>46878</v>
      </c>
      <c r="C61" s="28"/>
      <c r="D61" s="28"/>
      <c r="E61" s="28"/>
    </row>
    <row r="62" spans="2:5">
      <c r="B62" s="234">
        <v>46909</v>
      </c>
      <c r="C62" s="28"/>
      <c r="D62" s="28"/>
      <c r="E62" s="28"/>
    </row>
    <row r="63" spans="2:5">
      <c r="B63" s="234">
        <v>46939</v>
      </c>
      <c r="C63" s="28"/>
      <c r="D63" s="28"/>
      <c r="E63" s="28"/>
    </row>
    <row r="64" spans="2:5">
      <c r="B64" s="234">
        <v>46970</v>
      </c>
      <c r="C64" s="28"/>
      <c r="D64" s="28"/>
      <c r="E64" s="28"/>
    </row>
    <row r="65" spans="2:5">
      <c r="B65" s="234">
        <v>47001</v>
      </c>
      <c r="C65" s="28"/>
      <c r="D65" s="28"/>
      <c r="E65" s="28"/>
    </row>
    <row r="66" spans="2:5">
      <c r="B66" s="234">
        <v>47031</v>
      </c>
      <c r="C66" s="28"/>
      <c r="D66" s="28"/>
      <c r="E66"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CDA7C-25DC-4CF0-825E-FEF6A72CAFB8}">
  <dimension ref="A1:O43"/>
  <sheetViews>
    <sheetView rightToLeft="1" topLeftCell="A19" workbookViewId="0">
      <selection activeCell="D48" sqref="D48"/>
    </sheetView>
  </sheetViews>
  <sheetFormatPr defaultRowHeight="14.25"/>
  <cols>
    <col min="1" max="1" width="5" style="28" customWidth="1"/>
    <col min="2" max="2" width="10.375" style="28" bestFit="1" customWidth="1"/>
    <col min="3" max="3" width="11.875" style="28" bestFit="1" customWidth="1"/>
    <col min="4" max="4" width="9.875" style="28" bestFit="1" customWidth="1"/>
    <col min="5" max="5" width="17.75" style="28" bestFit="1" customWidth="1"/>
    <col min="6" max="6" width="11.375" style="28" bestFit="1" customWidth="1"/>
    <col min="7" max="7" width="9.125" style="28" bestFit="1" customWidth="1"/>
    <col min="8" max="8" width="15.375" style="28" bestFit="1" customWidth="1"/>
    <col min="9" max="9" width="9" style="28"/>
    <col min="10" max="10" width="21.25" style="28" bestFit="1" customWidth="1"/>
    <col min="11" max="13" width="9" style="28"/>
    <col min="14" max="14" width="12.25" style="28" bestFit="1" customWidth="1"/>
    <col min="15" max="15" width="10.375" style="28" bestFit="1" customWidth="1"/>
    <col min="16" max="16" width="14.75" style="28" bestFit="1" customWidth="1"/>
    <col min="17" max="17" width="11.25" style="28" bestFit="1" customWidth="1"/>
    <col min="18" max="19" width="9" style="28"/>
    <col min="20" max="20" width="32.5" style="28" bestFit="1" customWidth="1"/>
    <col min="21" max="21" width="10.375" style="28" bestFit="1" customWidth="1"/>
    <col min="22" max="22" width="32.5" style="28" bestFit="1" customWidth="1"/>
    <col min="23" max="23" width="9" style="28"/>
    <col min="24" max="24" width="9.875" style="28" bestFit="1" customWidth="1"/>
    <col min="25" max="16384" width="9" style="28"/>
  </cols>
  <sheetData>
    <row r="1" spans="1:15" ht="15" thickBot="1">
      <c r="G1" s="143" t="s">
        <v>88</v>
      </c>
      <c r="H1" s="11" t="s">
        <v>90</v>
      </c>
      <c r="I1" s="6" t="s">
        <v>89</v>
      </c>
      <c r="J1" s="144" t="s">
        <v>331</v>
      </c>
      <c r="K1" s="364"/>
      <c r="L1" s="176" t="s">
        <v>332</v>
      </c>
    </row>
    <row r="2" spans="1:15">
      <c r="B2" s="146"/>
      <c r="C2" s="147" t="s">
        <v>68</v>
      </c>
      <c r="D2" s="148" t="s">
        <v>91</v>
      </c>
      <c r="G2" s="13">
        <v>1</v>
      </c>
      <c r="H2" s="13"/>
      <c r="I2" s="13"/>
      <c r="J2" s="13" t="s">
        <v>92</v>
      </c>
      <c r="K2" s="365">
        <v>15000</v>
      </c>
      <c r="L2" s="13">
        <f>K2</f>
        <v>15000</v>
      </c>
      <c r="N2" s="146" t="s">
        <v>93</v>
      </c>
      <c r="O2" s="149">
        <v>17500</v>
      </c>
    </row>
    <row r="3" spans="1:15">
      <c r="A3" s="28">
        <v>1</v>
      </c>
      <c r="B3" s="150">
        <v>44927</v>
      </c>
      <c r="C3" s="151">
        <v>4504</v>
      </c>
      <c r="D3" s="152">
        <v>11623</v>
      </c>
      <c r="E3" s="28">
        <f t="shared" ref="E3:E39" si="0">SUM(C3:D3)</f>
        <v>16127</v>
      </c>
      <c r="G3" s="14">
        <v>2</v>
      </c>
      <c r="H3" s="14"/>
      <c r="I3" s="14"/>
      <c r="J3" s="14" t="s">
        <v>45</v>
      </c>
      <c r="K3" s="366">
        <v>8639</v>
      </c>
      <c r="L3" s="14">
        <f>K3</f>
        <v>8639</v>
      </c>
      <c r="N3" s="153" t="s">
        <v>94</v>
      </c>
      <c r="O3" s="154">
        <v>16500</v>
      </c>
    </row>
    <row r="4" spans="1:15" ht="15" thickBot="1">
      <c r="A4" s="28">
        <v>2</v>
      </c>
      <c r="B4" s="150">
        <v>44958</v>
      </c>
      <c r="C4" s="151">
        <v>6166</v>
      </c>
      <c r="D4" s="152">
        <v>11955</v>
      </c>
      <c r="E4" s="28">
        <f t="shared" si="0"/>
        <v>18121</v>
      </c>
      <c r="G4" s="14">
        <v>3</v>
      </c>
      <c r="H4" s="14"/>
      <c r="I4" s="14"/>
      <c r="J4" s="14" t="s">
        <v>129</v>
      </c>
      <c r="K4" s="366">
        <v>1000</v>
      </c>
      <c r="L4" s="14">
        <f>K4</f>
        <v>1000</v>
      </c>
      <c r="N4" s="155" t="s">
        <v>95</v>
      </c>
      <c r="O4" s="156">
        <f>SUM(O2:O3)</f>
        <v>34000</v>
      </c>
    </row>
    <row r="5" spans="1:15">
      <c r="A5" s="28">
        <v>3</v>
      </c>
      <c r="B5" s="150">
        <v>44986</v>
      </c>
      <c r="C5" s="151">
        <v>1861</v>
      </c>
      <c r="D5" s="152">
        <v>13084</v>
      </c>
      <c r="E5" s="28">
        <f t="shared" si="0"/>
        <v>14945</v>
      </c>
      <c r="G5" s="14">
        <v>4</v>
      </c>
      <c r="H5" s="14" t="s">
        <v>305</v>
      </c>
      <c r="I5" s="14">
        <v>4000</v>
      </c>
      <c r="J5" s="14" t="s">
        <v>96</v>
      </c>
      <c r="K5" s="366">
        <v>1300</v>
      </c>
      <c r="L5" s="14">
        <v>0</v>
      </c>
    </row>
    <row r="6" spans="1:15">
      <c r="A6" s="28">
        <v>4</v>
      </c>
      <c r="B6" s="150">
        <v>45017</v>
      </c>
      <c r="C6" s="151">
        <v>2411</v>
      </c>
      <c r="D6" s="152">
        <v>12763</v>
      </c>
      <c r="E6" s="28">
        <f t="shared" si="0"/>
        <v>15174</v>
      </c>
      <c r="G6" s="14">
        <v>5</v>
      </c>
      <c r="H6" s="14"/>
      <c r="I6" s="14"/>
      <c r="J6" s="14" t="s">
        <v>98</v>
      </c>
      <c r="K6" s="367">
        <f>SUM(K2:K5)</f>
        <v>25939</v>
      </c>
      <c r="L6" s="363">
        <f>SUM(L2:L5)</f>
        <v>24639</v>
      </c>
    </row>
    <row r="7" spans="1:15">
      <c r="A7" s="28">
        <v>5</v>
      </c>
      <c r="B7" s="150">
        <v>45047</v>
      </c>
      <c r="C7" s="151">
        <v>1413</v>
      </c>
      <c r="D7" s="152">
        <v>8589</v>
      </c>
      <c r="E7" s="28">
        <f t="shared" si="0"/>
        <v>10002</v>
      </c>
      <c r="G7" s="14">
        <v>6</v>
      </c>
      <c r="H7" s="14"/>
      <c r="I7" s="14"/>
      <c r="J7" s="157" t="s">
        <v>193</v>
      </c>
      <c r="K7" s="368">
        <f>O4-K6</f>
        <v>8061</v>
      </c>
      <c r="L7" s="157">
        <f>O4-L6</f>
        <v>9361</v>
      </c>
    </row>
    <row r="8" spans="1:15" ht="15" thickBot="1">
      <c r="A8" s="28">
        <v>6</v>
      </c>
      <c r="B8" s="150">
        <v>45078</v>
      </c>
      <c r="C8" s="151">
        <v>945</v>
      </c>
      <c r="D8" s="152">
        <v>8934</v>
      </c>
      <c r="E8" s="28">
        <f t="shared" si="0"/>
        <v>9879</v>
      </c>
      <c r="G8" s="14">
        <v>7</v>
      </c>
      <c r="H8" s="14"/>
      <c r="I8" s="14"/>
      <c r="J8" s="158" t="s">
        <v>323</v>
      </c>
      <c r="K8" s="369">
        <f>K7*12</f>
        <v>96732</v>
      </c>
      <c r="L8" s="158">
        <f>L7*12</f>
        <v>112332</v>
      </c>
    </row>
    <row r="9" spans="1:15" ht="15" thickBot="1">
      <c r="A9" s="28">
        <v>7</v>
      </c>
      <c r="B9" s="150">
        <v>45108</v>
      </c>
      <c r="C9" s="151">
        <v>1478</v>
      </c>
      <c r="D9" s="152">
        <v>10009</v>
      </c>
      <c r="E9" s="28">
        <f t="shared" si="0"/>
        <v>11487</v>
      </c>
      <c r="G9" s="14">
        <v>8</v>
      </c>
      <c r="H9" s="14"/>
      <c r="I9" s="14"/>
      <c r="J9" s="158"/>
      <c r="K9" s="158"/>
    </row>
    <row r="10" spans="1:15">
      <c r="A10" s="28">
        <v>8</v>
      </c>
      <c r="B10" s="150">
        <v>45139</v>
      </c>
      <c r="C10" s="151">
        <v>472</v>
      </c>
      <c r="D10" s="152">
        <v>15606</v>
      </c>
      <c r="E10" s="28">
        <f t="shared" si="0"/>
        <v>16078</v>
      </c>
      <c r="G10" s="14">
        <v>9</v>
      </c>
      <c r="H10" s="14" t="s">
        <v>97</v>
      </c>
      <c r="I10" s="14">
        <v>13500</v>
      </c>
    </row>
    <row r="11" spans="1:15">
      <c r="A11" s="28">
        <v>9</v>
      </c>
      <c r="B11" s="150">
        <v>45170</v>
      </c>
      <c r="C11" s="151">
        <v>2184</v>
      </c>
      <c r="D11" s="152">
        <v>13388</v>
      </c>
      <c r="E11" s="28">
        <f t="shared" si="0"/>
        <v>15572</v>
      </c>
      <c r="G11" s="14">
        <v>10</v>
      </c>
      <c r="H11" s="14" t="s">
        <v>97</v>
      </c>
      <c r="I11" s="14">
        <v>11000</v>
      </c>
    </row>
    <row r="12" spans="1:15">
      <c r="A12" s="28">
        <v>10</v>
      </c>
      <c r="B12" s="150">
        <v>45200</v>
      </c>
      <c r="C12" s="151">
        <v>2329</v>
      </c>
      <c r="D12" s="152">
        <v>9938</v>
      </c>
      <c r="E12" s="28">
        <f t="shared" si="0"/>
        <v>12267</v>
      </c>
      <c r="G12" s="14">
        <v>11</v>
      </c>
      <c r="H12" s="14"/>
      <c r="I12" s="14"/>
    </row>
    <row r="13" spans="1:15" ht="15" thickBot="1">
      <c r="A13" s="28">
        <v>11</v>
      </c>
      <c r="B13" s="150">
        <v>45231</v>
      </c>
      <c r="C13" s="160">
        <v>4636</v>
      </c>
      <c r="D13" s="161">
        <v>8410</v>
      </c>
      <c r="E13" s="28">
        <f t="shared" si="0"/>
        <v>13046</v>
      </c>
      <c r="G13" s="15">
        <v>12</v>
      </c>
      <c r="H13" s="15"/>
      <c r="I13" s="15"/>
    </row>
    <row r="14" spans="1:15">
      <c r="A14" s="28">
        <v>12</v>
      </c>
      <c r="B14" s="150">
        <v>45261</v>
      </c>
      <c r="C14" s="160">
        <v>1139</v>
      </c>
      <c r="D14" s="161">
        <v>12561</v>
      </c>
      <c r="E14" s="28">
        <f t="shared" si="0"/>
        <v>13700</v>
      </c>
      <c r="I14" s="28">
        <f>SUM(I2:I13)</f>
        <v>28500</v>
      </c>
    </row>
    <row r="15" spans="1:15">
      <c r="A15" s="28">
        <v>13</v>
      </c>
      <c r="B15" s="150">
        <v>45292</v>
      </c>
      <c r="C15" s="163">
        <v>1037</v>
      </c>
      <c r="D15" s="164">
        <v>9770</v>
      </c>
      <c r="E15" s="28">
        <f t="shared" si="0"/>
        <v>10807</v>
      </c>
    </row>
    <row r="16" spans="1:15" ht="15" thickBot="1">
      <c r="A16" s="28">
        <v>14</v>
      </c>
      <c r="B16" s="150">
        <v>45323</v>
      </c>
      <c r="C16" s="165">
        <v>1071</v>
      </c>
      <c r="D16" s="118">
        <v>16710</v>
      </c>
      <c r="E16" s="28">
        <f t="shared" si="0"/>
        <v>17781</v>
      </c>
      <c r="J16" s="233"/>
    </row>
    <row r="17" spans="1:10">
      <c r="A17" s="28">
        <v>15</v>
      </c>
      <c r="B17" s="150">
        <v>45352</v>
      </c>
      <c r="C17" s="28">
        <v>1022</v>
      </c>
      <c r="D17" s="116">
        <v>13284</v>
      </c>
      <c r="E17" s="28">
        <f t="shared" si="0"/>
        <v>14306</v>
      </c>
      <c r="J17" s="233"/>
    </row>
    <row r="18" spans="1:10">
      <c r="A18" s="28">
        <v>16</v>
      </c>
      <c r="B18" s="150">
        <v>45383</v>
      </c>
      <c r="C18" s="28">
        <v>0</v>
      </c>
      <c r="D18" s="116">
        <v>10186.629999999999</v>
      </c>
      <c r="E18" s="28">
        <f t="shared" si="0"/>
        <v>10186.629999999999</v>
      </c>
      <c r="J18" s="233"/>
    </row>
    <row r="19" spans="1:10">
      <c r="A19" s="28">
        <v>17</v>
      </c>
      <c r="B19" s="150">
        <v>45413</v>
      </c>
      <c r="C19" s="28">
        <v>3859.45</v>
      </c>
      <c r="D19" s="116">
        <v>11391.39</v>
      </c>
      <c r="E19" s="28">
        <f t="shared" si="0"/>
        <v>15250.84</v>
      </c>
      <c r="J19" s="233"/>
    </row>
    <row r="20" spans="1:10">
      <c r="A20" s="28">
        <v>18</v>
      </c>
      <c r="B20" s="150">
        <v>45444</v>
      </c>
      <c r="C20" s="28">
        <v>3239</v>
      </c>
      <c r="D20" s="116">
        <v>12677</v>
      </c>
      <c r="E20" s="28">
        <f t="shared" si="0"/>
        <v>15916</v>
      </c>
      <c r="J20" s="233"/>
    </row>
    <row r="21" spans="1:10">
      <c r="A21" s="28">
        <v>19</v>
      </c>
      <c r="B21" s="150">
        <v>45474</v>
      </c>
      <c r="C21" s="28">
        <v>1455</v>
      </c>
      <c r="D21" s="116">
        <v>9665</v>
      </c>
      <c r="E21" s="28">
        <f t="shared" si="0"/>
        <v>11120</v>
      </c>
      <c r="J21" s="233"/>
    </row>
    <row r="22" spans="1:10">
      <c r="A22" s="28">
        <v>20</v>
      </c>
      <c r="B22" s="150">
        <v>45505</v>
      </c>
      <c r="C22" s="28">
        <v>5631</v>
      </c>
      <c r="D22" s="116">
        <v>18482</v>
      </c>
      <c r="E22" s="28">
        <f t="shared" si="0"/>
        <v>24113</v>
      </c>
      <c r="J22" s="233"/>
    </row>
    <row r="23" spans="1:10">
      <c r="A23" s="28">
        <v>21</v>
      </c>
      <c r="B23" s="150">
        <v>45536</v>
      </c>
      <c r="C23" s="28">
        <v>9362</v>
      </c>
      <c r="D23" s="116">
        <f>10439+800</f>
        <v>11239</v>
      </c>
      <c r="E23" s="28">
        <f t="shared" si="0"/>
        <v>20601</v>
      </c>
      <c r="J23" s="233"/>
    </row>
    <row r="24" spans="1:10">
      <c r="A24" s="28">
        <v>22</v>
      </c>
      <c r="B24" s="150">
        <v>45566</v>
      </c>
      <c r="C24" s="28">
        <v>4167</v>
      </c>
      <c r="D24" s="116">
        <v>5838</v>
      </c>
      <c r="E24" s="28">
        <f t="shared" si="0"/>
        <v>10005</v>
      </c>
      <c r="J24" s="233"/>
    </row>
    <row r="25" spans="1:10">
      <c r="A25" s="28">
        <v>23</v>
      </c>
      <c r="B25" s="150">
        <v>45597</v>
      </c>
      <c r="C25" s="28">
        <v>12517</v>
      </c>
      <c r="D25" s="116">
        <v>8790</v>
      </c>
      <c r="E25" s="28">
        <f t="shared" si="0"/>
        <v>21307</v>
      </c>
    </row>
    <row r="26" spans="1:10">
      <c r="A26" s="28">
        <v>24</v>
      </c>
      <c r="B26" s="150">
        <v>45627</v>
      </c>
      <c r="C26" s="28">
        <v>10162</v>
      </c>
      <c r="D26" s="116">
        <v>6926</v>
      </c>
      <c r="E26" s="28">
        <f t="shared" si="0"/>
        <v>17088</v>
      </c>
    </row>
    <row r="27" spans="1:10">
      <c r="A27" s="28">
        <v>25</v>
      </c>
      <c r="B27" s="150">
        <v>45658</v>
      </c>
      <c r="C27" s="28">
        <f>8893+5350</f>
        <v>14243</v>
      </c>
      <c r="D27" s="116">
        <v>12445</v>
      </c>
      <c r="E27" s="28">
        <f t="shared" si="0"/>
        <v>26688</v>
      </c>
    </row>
    <row r="28" spans="1:10">
      <c r="A28" s="28">
        <v>26</v>
      </c>
      <c r="B28" s="150">
        <v>45689</v>
      </c>
      <c r="C28" s="28">
        <v>14733</v>
      </c>
      <c r="D28" s="116">
        <v>6286</v>
      </c>
      <c r="E28" s="28">
        <f t="shared" si="0"/>
        <v>21019</v>
      </c>
    </row>
    <row r="29" spans="1:10">
      <c r="A29" s="28">
        <v>27</v>
      </c>
      <c r="B29" s="150">
        <v>45717</v>
      </c>
      <c r="C29" s="28">
        <v>5185</v>
      </c>
      <c r="D29" s="116">
        <v>6646</v>
      </c>
      <c r="E29" s="28">
        <f t="shared" si="0"/>
        <v>11831</v>
      </c>
    </row>
    <row r="30" spans="1:10">
      <c r="A30" s="28">
        <v>28</v>
      </c>
      <c r="B30" s="150">
        <v>45748</v>
      </c>
      <c r="C30" s="28">
        <v>3082</v>
      </c>
      <c r="D30" s="116">
        <v>6868</v>
      </c>
      <c r="E30" s="28">
        <f t="shared" si="0"/>
        <v>9950</v>
      </c>
    </row>
    <row r="31" spans="1:10">
      <c r="A31" s="28">
        <v>29</v>
      </c>
      <c r="B31" s="150">
        <v>45778</v>
      </c>
      <c r="C31" s="28">
        <v>7162</v>
      </c>
      <c r="D31" s="116">
        <v>8676</v>
      </c>
      <c r="E31" s="28">
        <f t="shared" si="0"/>
        <v>15838</v>
      </c>
    </row>
    <row r="32" spans="1:10">
      <c r="A32" s="28">
        <v>30</v>
      </c>
      <c r="B32" s="150">
        <v>45809</v>
      </c>
      <c r="C32" s="28">
        <v>5260</v>
      </c>
      <c r="D32" s="116">
        <v>13840</v>
      </c>
      <c r="E32" s="28">
        <f t="shared" si="0"/>
        <v>19100</v>
      </c>
    </row>
    <row r="33" spans="1:5">
      <c r="A33" s="28">
        <v>31</v>
      </c>
      <c r="B33" s="150">
        <v>45839</v>
      </c>
      <c r="C33" s="28">
        <v>4007</v>
      </c>
      <c r="D33" s="116">
        <v>6978</v>
      </c>
      <c r="E33" s="28">
        <f t="shared" si="0"/>
        <v>10985</v>
      </c>
    </row>
    <row r="34" spans="1:5">
      <c r="A34" s="28">
        <v>32</v>
      </c>
      <c r="B34" s="150">
        <v>45870</v>
      </c>
      <c r="C34" s="28">
        <v>3377</v>
      </c>
      <c r="D34" s="116">
        <v>12466</v>
      </c>
      <c r="E34" s="28">
        <f t="shared" si="0"/>
        <v>15843</v>
      </c>
    </row>
    <row r="35" spans="1:5">
      <c r="A35" s="28">
        <v>33</v>
      </c>
      <c r="B35" s="150">
        <v>45901</v>
      </c>
      <c r="C35" s="28">
        <v>6064</v>
      </c>
      <c r="D35" s="116">
        <v>8029</v>
      </c>
      <c r="E35" s="28">
        <f t="shared" si="0"/>
        <v>14093</v>
      </c>
    </row>
    <row r="36" spans="1:5">
      <c r="A36" s="28">
        <v>34</v>
      </c>
      <c r="B36" s="150">
        <v>45931</v>
      </c>
      <c r="C36" s="28">
        <v>4037</v>
      </c>
      <c r="D36" s="116">
        <v>10212</v>
      </c>
      <c r="E36" s="28">
        <f t="shared" si="0"/>
        <v>14249</v>
      </c>
    </row>
    <row r="37" spans="1:5">
      <c r="B37" s="150">
        <v>45962</v>
      </c>
      <c r="C37" s="28">
        <v>4173</v>
      </c>
      <c r="D37" s="116">
        <v>8301</v>
      </c>
      <c r="E37" s="28">
        <f t="shared" si="0"/>
        <v>12474</v>
      </c>
    </row>
    <row r="38" spans="1:5">
      <c r="B38" s="150">
        <v>45992</v>
      </c>
      <c r="C38" s="28">
        <v>3240</v>
      </c>
      <c r="D38" s="116">
        <v>14198</v>
      </c>
      <c r="E38" s="28">
        <f t="shared" si="0"/>
        <v>17438</v>
      </c>
    </row>
    <row r="39" spans="1:5">
      <c r="B39" s="150">
        <v>46023</v>
      </c>
      <c r="C39" s="28">
        <v>3615</v>
      </c>
      <c r="D39" s="116">
        <v>4873</v>
      </c>
      <c r="E39" s="28">
        <f t="shared" si="0"/>
        <v>8488</v>
      </c>
    </row>
    <row r="40" spans="1:5">
      <c r="B40" s="150">
        <v>46054</v>
      </c>
      <c r="D40" s="116"/>
    </row>
    <row r="41" spans="1:5" ht="15" thickBot="1">
      <c r="B41" s="150">
        <v>46082</v>
      </c>
      <c r="D41" s="116"/>
    </row>
    <row r="42" spans="1:5" ht="15" thickBot="1">
      <c r="B42" s="144" t="s">
        <v>87</v>
      </c>
      <c r="C42" s="166">
        <f>SUM(C3:C39)</f>
        <v>161238.45000000001</v>
      </c>
      <c r="D42" s="145">
        <f>SUM(D3:D39)</f>
        <v>391637.02</v>
      </c>
      <c r="E42" s="28">
        <f>SUM(E3:E39)</f>
        <v>552875.47</v>
      </c>
    </row>
    <row r="43" spans="1:5" ht="15" thickBot="1">
      <c r="B43" s="167" t="s">
        <v>99</v>
      </c>
      <c r="C43" s="168"/>
      <c r="D43" s="169">
        <f>(D42+C42)/37</f>
        <v>14942.580270270269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4BF11-D0FE-464A-8BA2-CCC56DEE7957}">
  <dimension ref="A1:T38"/>
  <sheetViews>
    <sheetView rightToLeft="1" topLeftCell="A7" workbookViewId="0">
      <selection activeCell="H27" sqref="H27"/>
    </sheetView>
  </sheetViews>
  <sheetFormatPr defaultRowHeight="14.25"/>
  <cols>
    <col min="12" max="12" width="15.5" bestFit="1" customWidth="1"/>
    <col min="16" max="16" width="32.5" bestFit="1" customWidth="1"/>
    <col min="18" max="18" width="32.5" bestFit="1" customWidth="1"/>
    <col min="20" max="20" width="9.875" bestFit="1" customWidth="1"/>
  </cols>
  <sheetData>
    <row r="1" spans="1:20">
      <c r="A1" s="28" t="s">
        <v>100</v>
      </c>
      <c r="B1" s="28">
        <v>115000</v>
      </c>
      <c r="C1" s="28"/>
      <c r="D1" s="28"/>
      <c r="E1" s="28"/>
      <c r="F1" s="28"/>
      <c r="G1" s="28"/>
      <c r="H1" s="28"/>
      <c r="I1" s="28"/>
      <c r="J1" s="28"/>
      <c r="K1" s="28"/>
      <c r="L1" s="28"/>
      <c r="M1" s="28"/>
      <c r="N1" s="28"/>
      <c r="O1" s="28"/>
      <c r="P1" s="28"/>
      <c r="Q1" s="28"/>
      <c r="R1" s="28"/>
      <c r="S1" s="28"/>
      <c r="T1" s="28"/>
    </row>
    <row r="2" spans="1:20">
      <c r="A2" s="28" t="s">
        <v>101</v>
      </c>
      <c r="B2" s="28">
        <v>550000</v>
      </c>
      <c r="C2" s="28"/>
      <c r="D2" s="28"/>
      <c r="E2" s="28"/>
      <c r="F2" s="28"/>
      <c r="G2" s="28"/>
      <c r="H2" s="170" t="s">
        <v>102</v>
      </c>
      <c r="I2" s="170">
        <v>3808000</v>
      </c>
      <c r="J2" s="28"/>
      <c r="K2" s="170" t="s">
        <v>103</v>
      </c>
      <c r="L2" s="170">
        <v>1745000</v>
      </c>
      <c r="M2" s="28"/>
      <c r="N2" s="28"/>
      <c r="O2" s="28"/>
      <c r="P2" s="28"/>
      <c r="Q2" s="28"/>
      <c r="R2" s="28"/>
      <c r="S2" s="28"/>
      <c r="T2" s="28"/>
    </row>
    <row r="3" spans="1:20">
      <c r="A3" s="28" t="s">
        <v>104</v>
      </c>
      <c r="B3" s="28">
        <v>100000</v>
      </c>
      <c r="C3" s="28">
        <f>B3*0.8</f>
        <v>80000</v>
      </c>
      <c r="D3" s="28"/>
      <c r="E3" s="28">
        <f>C3/(12*5)</f>
        <v>1333.3333333333333</v>
      </c>
      <c r="F3" s="28"/>
      <c r="G3" s="28"/>
      <c r="H3" s="170"/>
      <c r="I3" s="170"/>
      <c r="J3" s="28"/>
      <c r="K3" s="170"/>
      <c r="L3" s="170"/>
      <c r="M3" s="28"/>
      <c r="N3" s="28"/>
      <c r="O3" s="28"/>
      <c r="P3" s="28"/>
      <c r="Q3" s="28"/>
      <c r="R3" s="28"/>
      <c r="S3" s="28"/>
      <c r="T3" s="28"/>
    </row>
    <row r="4" spans="1:20" ht="15" thickBot="1">
      <c r="A4" s="28" t="s">
        <v>105</v>
      </c>
      <c r="B4" s="28">
        <v>90000</v>
      </c>
      <c r="C4" s="28">
        <f>B4*0.5</f>
        <v>45000</v>
      </c>
      <c r="D4" s="28"/>
      <c r="E4" s="28"/>
      <c r="F4" s="28"/>
      <c r="G4" s="28"/>
      <c r="H4" s="28"/>
      <c r="I4" s="28"/>
      <c r="J4" s="28"/>
      <c r="K4" s="28"/>
      <c r="L4" s="28"/>
      <c r="M4" s="28"/>
      <c r="N4" s="28"/>
      <c r="O4" s="28"/>
      <c r="P4" s="28"/>
      <c r="Q4" s="28"/>
      <c r="R4" s="28"/>
      <c r="S4" s="28"/>
      <c r="T4" s="28"/>
    </row>
    <row r="5" spans="1:20" ht="15" thickBot="1">
      <c r="A5" s="28"/>
      <c r="B5" s="28"/>
      <c r="C5" s="28"/>
      <c r="D5" s="28"/>
      <c r="E5" s="28"/>
      <c r="F5" s="28"/>
      <c r="G5" s="28"/>
      <c r="H5" s="28"/>
      <c r="I5" s="28"/>
      <c r="J5" s="28"/>
      <c r="K5" s="28"/>
      <c r="L5" s="28"/>
      <c r="M5" s="28"/>
      <c r="N5" s="28"/>
      <c r="O5" s="28"/>
      <c r="P5" s="171"/>
      <c r="Q5" s="172"/>
      <c r="R5" s="171"/>
      <c r="S5" s="172"/>
      <c r="T5" s="28"/>
    </row>
    <row r="6" spans="1:20" ht="15" thickBot="1">
      <c r="A6" s="28"/>
      <c r="B6" s="28"/>
      <c r="C6" s="28"/>
      <c r="D6" s="28"/>
      <c r="E6" s="28"/>
      <c r="F6" s="28"/>
      <c r="G6" s="28"/>
      <c r="H6" s="173" t="s">
        <v>106</v>
      </c>
      <c r="I6" s="174"/>
      <c r="J6" s="175" t="s">
        <v>107</v>
      </c>
      <c r="K6" s="28"/>
      <c r="L6" s="176" t="s">
        <v>108</v>
      </c>
      <c r="M6" s="28"/>
      <c r="N6" s="28"/>
      <c r="O6" s="28"/>
      <c r="P6" s="177">
        <v>45374</v>
      </c>
      <c r="Q6" s="145"/>
      <c r="R6" s="177">
        <v>45394</v>
      </c>
      <c r="S6" s="145"/>
      <c r="T6" s="178">
        <v>45401</v>
      </c>
    </row>
    <row r="7" spans="1:20" ht="15" thickBot="1">
      <c r="A7" s="28"/>
      <c r="B7" s="28">
        <f>SUM(B1:B2)</f>
        <v>665000</v>
      </c>
      <c r="C7" s="28">
        <f>120000+B2+B1</f>
        <v>785000</v>
      </c>
      <c r="D7" s="28"/>
      <c r="E7" s="28"/>
      <c r="F7" s="28"/>
      <c r="G7" s="28"/>
      <c r="H7" s="179" t="s">
        <v>100</v>
      </c>
      <c r="I7" s="11">
        <v>170000</v>
      </c>
      <c r="J7" s="180"/>
      <c r="K7" s="28"/>
      <c r="L7" s="181">
        <v>45317</v>
      </c>
      <c r="M7" s="28">
        <v>46000</v>
      </c>
      <c r="N7" s="28"/>
      <c r="O7" s="182" t="s">
        <v>109</v>
      </c>
      <c r="P7" s="144" t="s">
        <v>108</v>
      </c>
      <c r="Q7" s="13">
        <v>563000</v>
      </c>
      <c r="R7" s="144" t="s">
        <v>108</v>
      </c>
      <c r="S7" s="13">
        <v>591707</v>
      </c>
      <c r="T7" s="26">
        <v>918777</v>
      </c>
    </row>
    <row r="8" spans="1:20" ht="15" thickBot="1">
      <c r="A8" s="28"/>
      <c r="B8" s="28"/>
      <c r="C8" s="28"/>
      <c r="D8" s="28"/>
      <c r="E8" s="28"/>
      <c r="F8" s="28"/>
      <c r="G8" s="28"/>
      <c r="H8" s="183" t="s">
        <v>104</v>
      </c>
      <c r="I8" s="147">
        <v>67000</v>
      </c>
      <c r="J8" s="148">
        <v>1372</v>
      </c>
      <c r="K8" s="28"/>
      <c r="L8" s="146" t="s">
        <v>110</v>
      </c>
      <c r="M8" s="148">
        <v>1320000</v>
      </c>
      <c r="N8" s="28"/>
      <c r="O8" s="184"/>
      <c r="P8" s="185" t="s">
        <v>110</v>
      </c>
      <c r="Q8" s="14">
        <v>1651000</v>
      </c>
      <c r="R8" s="185" t="s">
        <v>110</v>
      </c>
      <c r="S8" s="14">
        <v>1651000</v>
      </c>
      <c r="T8" s="26">
        <v>880959</v>
      </c>
    </row>
    <row r="9" spans="1:20" ht="15" thickBot="1">
      <c r="A9" s="28" t="s">
        <v>111</v>
      </c>
      <c r="B9" s="28">
        <f>D9*0.3</f>
        <v>561000</v>
      </c>
      <c r="C9" s="28"/>
      <c r="D9" s="28">
        <f>1870000</f>
        <v>1870000</v>
      </c>
      <c r="E9" s="28"/>
      <c r="F9" s="28"/>
      <c r="G9" s="28"/>
      <c r="H9" s="186" t="s">
        <v>105</v>
      </c>
      <c r="I9" s="151"/>
      <c r="J9" s="152"/>
      <c r="K9" s="28"/>
      <c r="L9" s="153" t="s">
        <v>112</v>
      </c>
      <c r="M9" s="152">
        <f>950000-153000</f>
        <v>797000</v>
      </c>
      <c r="N9" s="28"/>
      <c r="O9" s="184"/>
      <c r="P9" s="171" t="s">
        <v>113</v>
      </c>
      <c r="Q9" s="176">
        <f>Q7+Q8</f>
        <v>2214000</v>
      </c>
      <c r="R9" s="171" t="s">
        <v>113</v>
      </c>
      <c r="S9" s="176">
        <f>S7+S8</f>
        <v>2242707</v>
      </c>
      <c r="T9" s="26">
        <f>T7+T8</f>
        <v>1799736</v>
      </c>
    </row>
    <row r="10" spans="1:20" ht="15" thickBot="1">
      <c r="A10" s="28" t="s">
        <v>114</v>
      </c>
      <c r="B10" s="28">
        <f>D9*0.06</f>
        <v>112200</v>
      </c>
      <c r="C10" s="28"/>
      <c r="D10" s="28"/>
      <c r="E10" s="28"/>
      <c r="F10" s="28"/>
      <c r="G10" s="28"/>
      <c r="H10" s="186" t="s">
        <v>101</v>
      </c>
      <c r="I10" s="151">
        <v>500000</v>
      </c>
      <c r="J10" s="152"/>
      <c r="K10" s="28"/>
      <c r="L10" s="187" t="s">
        <v>115</v>
      </c>
      <c r="M10" s="188">
        <f>M8+M9+M7</f>
        <v>2163000</v>
      </c>
      <c r="N10" s="28"/>
      <c r="O10" s="189"/>
      <c r="P10" s="190" t="s">
        <v>116</v>
      </c>
      <c r="Q10" s="191">
        <f>Q9-I29</f>
        <v>1922260.56</v>
      </c>
      <c r="R10" s="190" t="s">
        <v>116</v>
      </c>
      <c r="S10" s="191">
        <f>S9-K29</f>
        <v>2067410.6</v>
      </c>
      <c r="T10" s="26"/>
    </row>
    <row r="11" spans="1:20" ht="42.75">
      <c r="A11" s="28" t="s">
        <v>87</v>
      </c>
      <c r="B11" s="28">
        <f>SUM(B9:B10)</f>
        <v>673200</v>
      </c>
      <c r="C11" s="28"/>
      <c r="D11" s="28"/>
      <c r="E11" s="28"/>
      <c r="F11" s="28"/>
      <c r="G11" s="28"/>
      <c r="H11" s="186" t="s">
        <v>117</v>
      </c>
      <c r="I11" s="151">
        <v>150000</v>
      </c>
      <c r="J11" s="152">
        <f>2739</f>
        <v>2739</v>
      </c>
      <c r="K11" s="28"/>
      <c r="L11" s="192" t="s">
        <v>118</v>
      </c>
      <c r="M11" s="152">
        <f>M10-I29</f>
        <v>1871260.56</v>
      </c>
      <c r="N11" s="28"/>
      <c r="O11" s="28"/>
      <c r="P11" s="193" t="s">
        <v>102</v>
      </c>
      <c r="Q11" s="194">
        <f>I2</f>
        <v>3808000</v>
      </c>
      <c r="R11" s="193" t="s">
        <v>102</v>
      </c>
      <c r="S11" s="194">
        <f>I2</f>
        <v>3808000</v>
      </c>
      <c r="T11" s="28"/>
    </row>
    <row r="12" spans="1:20" ht="29.25" thickBot="1">
      <c r="A12" s="28"/>
      <c r="B12" s="28"/>
      <c r="C12" s="28"/>
      <c r="D12" s="28">
        <f>D9+550000+100000</f>
        <v>2520000</v>
      </c>
      <c r="E12" s="28"/>
      <c r="F12" s="28"/>
      <c r="G12" s="28"/>
      <c r="H12" s="186" t="s">
        <v>119</v>
      </c>
      <c r="I12" s="195">
        <f>SUM(I7:I11)</f>
        <v>887000</v>
      </c>
      <c r="J12" s="152"/>
      <c r="K12" s="28"/>
      <c r="L12" s="192" t="s">
        <v>120</v>
      </c>
      <c r="M12" s="152">
        <f>M11-150000</f>
        <v>1721260.56</v>
      </c>
      <c r="N12" s="28"/>
      <c r="O12" s="28"/>
      <c r="P12" s="196" t="s">
        <v>121</v>
      </c>
      <c r="Q12" s="197">
        <v>1400000</v>
      </c>
      <c r="R12" s="196" t="s">
        <v>121</v>
      </c>
      <c r="S12" s="197">
        <v>1400000</v>
      </c>
      <c r="T12" s="28"/>
    </row>
    <row r="13" spans="1:20" ht="15" thickBot="1">
      <c r="A13" s="28"/>
      <c r="B13" s="28"/>
      <c r="C13" s="28"/>
      <c r="D13" s="28"/>
      <c r="E13" s="28"/>
      <c r="F13" s="28"/>
      <c r="G13" s="28"/>
      <c r="H13" s="186" t="s">
        <v>122</v>
      </c>
      <c r="I13" s="151">
        <v>1745000</v>
      </c>
      <c r="J13" s="152"/>
      <c r="K13" s="28"/>
      <c r="L13" s="153" t="s">
        <v>121</v>
      </c>
      <c r="M13" s="152">
        <v>1400000</v>
      </c>
      <c r="N13" s="28"/>
      <c r="O13" s="28"/>
      <c r="P13" s="167" t="s">
        <v>123</v>
      </c>
      <c r="Q13" s="198">
        <f>Q11-Q12</f>
        <v>2408000</v>
      </c>
      <c r="R13" s="167" t="s">
        <v>123</v>
      </c>
      <c r="S13" s="198">
        <f>S11-S12</f>
        <v>2408000</v>
      </c>
      <c r="T13" s="28"/>
    </row>
    <row r="14" spans="1:20">
      <c r="A14" s="28"/>
      <c r="B14" s="28"/>
      <c r="C14" s="28"/>
      <c r="D14" s="28"/>
      <c r="E14" s="28"/>
      <c r="F14" s="28"/>
      <c r="G14" s="28"/>
      <c r="H14" s="186" t="s">
        <v>124</v>
      </c>
      <c r="I14" s="199">
        <f>SUM(I12:I13)</f>
        <v>2632000</v>
      </c>
      <c r="J14" s="152">
        <v>8700</v>
      </c>
      <c r="K14" s="28"/>
      <c r="L14" s="153" t="s">
        <v>125</v>
      </c>
      <c r="M14" s="152">
        <f>M13+M12</f>
        <v>3121260.56</v>
      </c>
      <c r="N14" s="28"/>
      <c r="O14" s="28"/>
      <c r="P14" s="200" t="s">
        <v>101</v>
      </c>
      <c r="Q14" s="201">
        <v>500000</v>
      </c>
      <c r="R14" s="200" t="s">
        <v>101</v>
      </c>
      <c r="S14" s="201">
        <v>500000</v>
      </c>
      <c r="T14" s="28"/>
    </row>
    <row r="15" spans="1:20" ht="15.75" thickBot="1">
      <c r="A15" s="28"/>
      <c r="B15" s="28"/>
      <c r="C15" s="28"/>
      <c r="D15" s="28"/>
      <c r="E15" s="28"/>
      <c r="F15" s="28"/>
      <c r="G15" s="28"/>
      <c r="H15" s="202" t="s">
        <v>126</v>
      </c>
      <c r="I15" s="5"/>
      <c r="J15" s="203">
        <f>SUM(J8:J14)</f>
        <v>12811</v>
      </c>
      <c r="K15" s="28"/>
      <c r="L15" s="153" t="s">
        <v>127</v>
      </c>
      <c r="M15" s="152">
        <f>(150+500)*1000</f>
        <v>650000</v>
      </c>
      <c r="N15" s="28"/>
      <c r="O15" s="28"/>
      <c r="P15" s="204"/>
      <c r="Q15" s="205">
        <f>Q14+Q10</f>
        <v>2422260.56</v>
      </c>
      <c r="R15" s="204"/>
      <c r="S15" s="205">
        <f>S14+S10</f>
        <v>2567410.6</v>
      </c>
      <c r="T15" s="28"/>
    </row>
    <row r="16" spans="1:20" ht="43.5" thickBot="1">
      <c r="A16" s="28"/>
      <c r="B16" s="28"/>
      <c r="C16" s="28"/>
      <c r="D16" s="28"/>
      <c r="E16" s="28"/>
      <c r="F16" s="28"/>
      <c r="G16" s="28"/>
      <c r="H16" s="28"/>
      <c r="I16" s="28"/>
      <c r="J16" s="28"/>
      <c r="K16" s="28"/>
      <c r="L16" s="206" t="s">
        <v>128</v>
      </c>
      <c r="M16" s="205">
        <v>53000</v>
      </c>
      <c r="N16" s="28"/>
      <c r="O16" s="28"/>
      <c r="P16" s="28"/>
      <c r="Q16" s="28"/>
      <c r="R16" s="28"/>
      <c r="S16" s="28"/>
      <c r="T16" s="28"/>
    </row>
    <row r="17" spans="1:20" ht="15" thickBot="1">
      <c r="A17" s="28"/>
      <c r="B17" s="28"/>
      <c r="C17" s="28"/>
      <c r="D17" s="28"/>
      <c r="E17" s="28"/>
      <c r="F17" s="28"/>
      <c r="G17" s="28"/>
      <c r="H17" s="207" t="s">
        <v>129</v>
      </c>
      <c r="I17" s="410" t="s">
        <v>98</v>
      </c>
      <c r="J17" s="411"/>
      <c r="K17" s="412"/>
      <c r="L17" s="28"/>
      <c r="M17" s="28"/>
      <c r="N17" s="28"/>
      <c r="O17" s="28"/>
      <c r="P17" s="28"/>
      <c r="Q17" s="28"/>
      <c r="R17" s="28"/>
      <c r="S17" s="28"/>
      <c r="T17" s="28"/>
    </row>
    <row r="18" spans="1:20" ht="15" thickBot="1">
      <c r="A18" s="28"/>
      <c r="B18" s="28"/>
      <c r="C18" s="28"/>
      <c r="D18" s="28"/>
      <c r="E18" s="28"/>
      <c r="F18" s="28"/>
      <c r="G18" s="28"/>
      <c r="H18" s="208" t="s">
        <v>114</v>
      </c>
      <c r="I18" s="209">
        <v>85938</v>
      </c>
      <c r="J18" s="13" t="s">
        <v>114</v>
      </c>
      <c r="K18" s="210">
        <v>85938</v>
      </c>
      <c r="L18" s="211" t="s">
        <v>130</v>
      </c>
      <c r="M18" s="211" t="s">
        <v>131</v>
      </c>
      <c r="N18" s="28"/>
      <c r="O18" s="28"/>
      <c r="P18" s="28"/>
      <c r="Q18" s="28"/>
      <c r="R18" s="28"/>
      <c r="S18" s="28"/>
      <c r="T18" s="28"/>
    </row>
    <row r="19" spans="1:20">
      <c r="A19" s="28"/>
      <c r="B19" s="28"/>
      <c r="C19" s="28"/>
      <c r="D19" s="28">
        <f>200-30-70</f>
        <v>100</v>
      </c>
      <c r="E19" s="28"/>
      <c r="F19" s="28"/>
      <c r="G19" s="28"/>
      <c r="H19" s="212" t="s">
        <v>132</v>
      </c>
      <c r="I19" s="185">
        <f>0.004*I2*1.17</f>
        <v>17821.439999999999</v>
      </c>
      <c r="J19" s="21"/>
      <c r="K19" s="213"/>
      <c r="L19" s="214">
        <v>380000</v>
      </c>
      <c r="M19" s="215">
        <v>45396</v>
      </c>
      <c r="N19" s="28"/>
      <c r="O19" s="28"/>
      <c r="P19" s="28"/>
      <c r="Q19" s="28"/>
      <c r="R19" s="28"/>
      <c r="S19" s="28"/>
      <c r="T19" s="28"/>
    </row>
    <row r="20" spans="1:20">
      <c r="A20" s="28"/>
      <c r="B20" s="28"/>
      <c r="C20" s="28"/>
      <c r="D20" s="28"/>
      <c r="E20" s="28"/>
      <c r="F20" s="28"/>
      <c r="G20" s="28"/>
      <c r="H20" s="212" t="s">
        <v>133</v>
      </c>
      <c r="I20" s="185">
        <f>0.004*L2*1.17</f>
        <v>8166.5999999999995</v>
      </c>
      <c r="J20" s="14" t="s">
        <v>133</v>
      </c>
      <c r="K20" s="159">
        <v>8167</v>
      </c>
      <c r="L20" s="216">
        <v>1530000</v>
      </c>
      <c r="M20" s="217">
        <v>45412</v>
      </c>
      <c r="N20" s="28"/>
      <c r="O20" s="28"/>
      <c r="P20" s="28"/>
      <c r="Q20" s="28"/>
      <c r="R20" s="28"/>
      <c r="S20" s="28"/>
      <c r="T20" s="28"/>
    </row>
    <row r="21" spans="1:20">
      <c r="A21" s="28"/>
      <c r="B21" s="28"/>
      <c r="C21" s="28"/>
      <c r="D21" s="28"/>
      <c r="E21" s="28"/>
      <c r="F21" s="28"/>
      <c r="G21" s="28"/>
      <c r="H21" s="212" t="s">
        <v>134</v>
      </c>
      <c r="I21" s="185">
        <f>(I2*0.015)*1.17</f>
        <v>66830.399999999994</v>
      </c>
      <c r="J21" s="14" t="s">
        <v>134</v>
      </c>
      <c r="K21" s="159">
        <v>66830.399999999994</v>
      </c>
      <c r="L21" s="216"/>
      <c r="M21" s="217"/>
      <c r="N21" s="28"/>
      <c r="O21" s="28"/>
      <c r="P21" s="28"/>
      <c r="Q21" s="28"/>
      <c r="R21" s="28"/>
      <c r="S21" s="28"/>
      <c r="T21" s="28"/>
    </row>
    <row r="22" spans="1:20">
      <c r="A22" s="28"/>
      <c r="B22" s="28"/>
      <c r="C22" s="28"/>
      <c r="D22" s="28"/>
      <c r="E22" s="28"/>
      <c r="F22" s="28"/>
      <c r="G22" s="28"/>
      <c r="H22" s="212" t="s">
        <v>135</v>
      </c>
      <c r="I22" s="185">
        <v>4680</v>
      </c>
      <c r="J22" s="14" t="s">
        <v>135</v>
      </c>
      <c r="K22" s="159">
        <v>4680</v>
      </c>
      <c r="L22" s="216"/>
      <c r="M22" s="217"/>
      <c r="N22" s="28"/>
      <c r="O22" s="28"/>
      <c r="P22" s="28"/>
      <c r="Q22" s="28"/>
      <c r="R22" s="28"/>
      <c r="S22" s="28"/>
      <c r="T22" s="28"/>
    </row>
    <row r="23" spans="1:20">
      <c r="A23" s="28"/>
      <c r="B23" s="28"/>
      <c r="C23" s="28"/>
      <c r="D23" s="28"/>
      <c r="E23" s="28"/>
      <c r="F23" s="28"/>
      <c r="G23" s="28"/>
      <c r="H23" s="212" t="s">
        <v>136</v>
      </c>
      <c r="I23" s="185">
        <v>303</v>
      </c>
      <c r="J23" s="14" t="s">
        <v>136</v>
      </c>
      <c r="K23" s="159">
        <v>303</v>
      </c>
      <c r="L23" s="216"/>
      <c r="M23" s="217"/>
      <c r="N23" s="28"/>
      <c r="O23" s="28"/>
      <c r="P23" s="28"/>
      <c r="Q23" s="28"/>
      <c r="R23" s="28"/>
      <c r="S23" s="28"/>
      <c r="T23" s="28"/>
    </row>
    <row r="24" spans="1:20">
      <c r="A24" s="28"/>
      <c r="B24" s="28"/>
      <c r="C24" s="28"/>
      <c r="D24" s="28"/>
      <c r="E24" s="28"/>
      <c r="F24" s="28"/>
      <c r="G24" s="28"/>
      <c r="H24" s="212" t="s">
        <v>137</v>
      </c>
      <c r="I24" s="185">
        <v>4000</v>
      </c>
      <c r="J24" s="218" t="s">
        <v>137</v>
      </c>
      <c r="K24" s="159">
        <v>3978</v>
      </c>
      <c r="L24" s="216"/>
      <c r="M24" s="217"/>
      <c r="N24" s="28"/>
      <c r="O24" s="28"/>
      <c r="P24" s="28"/>
      <c r="Q24" s="28"/>
      <c r="R24" s="28"/>
      <c r="S24" s="28"/>
      <c r="T24" s="28"/>
    </row>
    <row r="25" spans="1:20" ht="15" thickBot="1">
      <c r="A25" s="28"/>
      <c r="B25" s="28"/>
      <c r="C25" s="28"/>
      <c r="D25" s="28"/>
      <c r="E25" s="28"/>
      <c r="F25" s="28"/>
      <c r="G25" s="28"/>
      <c r="H25" s="212" t="s">
        <v>138</v>
      </c>
      <c r="I25" s="185">
        <v>5000</v>
      </c>
      <c r="J25" s="14" t="s">
        <v>138</v>
      </c>
      <c r="K25" s="159">
        <v>2000</v>
      </c>
      <c r="L25" s="219"/>
      <c r="M25" s="205"/>
      <c r="N25" s="28"/>
      <c r="O25" s="28"/>
      <c r="P25" s="28"/>
      <c r="Q25" s="28"/>
      <c r="R25" s="28"/>
      <c r="S25" s="28"/>
      <c r="T25" s="28"/>
    </row>
    <row r="26" spans="1:20">
      <c r="A26" s="28"/>
      <c r="B26" s="28"/>
      <c r="C26" s="28"/>
      <c r="D26" s="28"/>
      <c r="E26" s="28"/>
      <c r="F26" s="28"/>
      <c r="G26" s="28"/>
      <c r="H26" s="212" t="s">
        <v>139</v>
      </c>
      <c r="I26" s="185">
        <v>4000</v>
      </c>
      <c r="J26" s="14"/>
      <c r="K26" s="159">
        <v>3400</v>
      </c>
      <c r="L26" s="28"/>
      <c r="M26" s="28"/>
      <c r="N26" s="28"/>
      <c r="O26" s="28"/>
      <c r="P26" s="28"/>
      <c r="Q26" s="28"/>
      <c r="R26" s="28"/>
      <c r="S26" s="28"/>
      <c r="T26" s="28"/>
    </row>
    <row r="27" spans="1:20">
      <c r="A27" s="28"/>
      <c r="B27" s="28"/>
      <c r="C27" s="28"/>
      <c r="D27" s="28"/>
      <c r="E27" s="28"/>
      <c r="F27" s="28"/>
      <c r="G27" s="28"/>
      <c r="H27" s="212" t="s">
        <v>140</v>
      </c>
      <c r="I27" s="185">
        <v>20000</v>
      </c>
      <c r="J27" s="14"/>
      <c r="K27" s="159"/>
      <c r="L27" s="28"/>
      <c r="M27" s="28"/>
      <c r="N27" s="28"/>
      <c r="O27" s="28"/>
      <c r="P27" s="28"/>
      <c r="Q27" s="28"/>
      <c r="R27" s="28"/>
      <c r="S27" s="28"/>
      <c r="T27" s="28"/>
    </row>
    <row r="28" spans="1:20" ht="15" thickBot="1">
      <c r="A28" s="28"/>
      <c r="B28" s="28"/>
      <c r="C28" s="28"/>
      <c r="D28" s="28"/>
      <c r="E28" s="28"/>
      <c r="F28" s="28"/>
      <c r="G28" s="28"/>
      <c r="H28" s="220" t="s">
        <v>141</v>
      </c>
      <c r="I28" s="221">
        <v>75000</v>
      </c>
      <c r="J28" s="14"/>
      <c r="K28" s="159"/>
      <c r="L28" s="28"/>
      <c r="M28" s="28"/>
      <c r="N28" s="28"/>
      <c r="O28" s="28"/>
      <c r="P28" s="28"/>
      <c r="Q28" s="28"/>
      <c r="R28" s="28"/>
      <c r="S28" s="28"/>
      <c r="T28" s="28"/>
    </row>
    <row r="29" spans="1:20" ht="15" thickBot="1">
      <c r="A29" s="28"/>
      <c r="B29" s="28"/>
      <c r="C29" s="28"/>
      <c r="D29" s="28"/>
      <c r="E29" s="28"/>
      <c r="F29" s="28"/>
      <c r="G29" s="28"/>
      <c r="H29" s="222" t="s">
        <v>87</v>
      </c>
      <c r="I29" s="223">
        <f>SUM(I18:I28)</f>
        <v>291739.44</v>
      </c>
      <c r="J29" s="15"/>
      <c r="K29" s="162">
        <f>SUM(K18:K28)</f>
        <v>175296.4</v>
      </c>
      <c r="L29" s="28"/>
      <c r="M29" s="28"/>
      <c r="N29" s="28"/>
      <c r="O29" s="28"/>
      <c r="P29" s="28"/>
      <c r="Q29" s="28"/>
      <c r="R29" s="28"/>
      <c r="S29" s="28"/>
      <c r="T29" s="28"/>
    </row>
    <row r="30" spans="1:20" ht="15" thickBot="1">
      <c r="A30" s="28"/>
      <c r="B30" s="28"/>
      <c r="C30" s="28"/>
      <c r="D30" s="28"/>
      <c r="E30" s="28"/>
      <c r="F30" s="28"/>
      <c r="G30" s="28"/>
      <c r="H30" s="28"/>
      <c r="I30" s="28"/>
      <c r="J30" s="28"/>
      <c r="K30" s="28"/>
      <c r="L30" s="28"/>
      <c r="M30" s="28"/>
      <c r="N30" s="28"/>
      <c r="O30" s="28"/>
      <c r="P30" s="28"/>
      <c r="Q30" s="28"/>
      <c r="R30" s="28"/>
      <c r="S30" s="28"/>
      <c r="T30" s="28"/>
    </row>
    <row r="31" spans="1:20">
      <c r="A31" s="28"/>
      <c r="B31" s="28"/>
      <c r="C31" s="28"/>
      <c r="D31" s="28"/>
      <c r="E31" s="28"/>
      <c r="F31" s="28"/>
      <c r="G31" s="28"/>
      <c r="H31" s="28"/>
      <c r="I31" s="28"/>
      <c r="J31" s="28"/>
      <c r="K31" s="224" t="s">
        <v>142</v>
      </c>
      <c r="L31" s="225" t="s">
        <v>143</v>
      </c>
      <c r="M31" s="28"/>
      <c r="N31" s="28"/>
      <c r="O31" s="28"/>
      <c r="P31" s="28"/>
      <c r="Q31" s="28"/>
      <c r="R31" s="28"/>
      <c r="S31" s="28"/>
      <c r="T31" s="28"/>
    </row>
    <row r="32" spans="1:20">
      <c r="A32" s="28"/>
      <c r="B32" s="28"/>
      <c r="C32" s="28"/>
      <c r="D32" s="28"/>
      <c r="E32" s="28"/>
      <c r="F32" s="28"/>
      <c r="G32" s="28"/>
      <c r="H32" s="226"/>
      <c r="I32" s="28"/>
      <c r="J32" s="28"/>
      <c r="K32" s="227" t="s">
        <v>144</v>
      </c>
      <c r="L32" s="228">
        <f>5000-2200</f>
        <v>2800</v>
      </c>
      <c r="M32" s="28"/>
      <c r="N32" s="28"/>
      <c r="O32" s="28"/>
      <c r="P32" s="28"/>
      <c r="Q32" s="28"/>
      <c r="R32" s="28"/>
      <c r="S32" s="28"/>
      <c r="T32" s="28"/>
    </row>
    <row r="33" spans="1:20">
      <c r="A33" s="28"/>
      <c r="B33" s="28"/>
      <c r="C33" s="28"/>
      <c r="D33" s="28"/>
      <c r="E33" s="28"/>
      <c r="F33" s="28"/>
      <c r="G33" s="28"/>
      <c r="H33" s="229"/>
      <c r="I33" s="28"/>
      <c r="J33" s="28"/>
      <c r="K33" s="227" t="s">
        <v>139</v>
      </c>
      <c r="L33" s="228">
        <v>3400</v>
      </c>
      <c r="M33" s="28"/>
      <c r="N33" s="28"/>
      <c r="O33" s="28"/>
      <c r="P33" s="28"/>
      <c r="Q33" s="28"/>
      <c r="R33" s="28"/>
      <c r="S33" s="28"/>
      <c r="T33" s="28"/>
    </row>
    <row r="34" spans="1:20">
      <c r="A34" s="28"/>
      <c r="B34" s="28"/>
      <c r="C34" s="28"/>
      <c r="D34" s="28"/>
      <c r="E34" s="28"/>
      <c r="F34" s="28"/>
      <c r="G34" s="28"/>
      <c r="H34" s="28"/>
      <c r="I34" s="28"/>
      <c r="J34" s="28"/>
      <c r="K34" s="227" t="s">
        <v>145</v>
      </c>
      <c r="L34" s="228">
        <v>500</v>
      </c>
      <c r="M34" s="28"/>
      <c r="N34" s="28"/>
      <c r="O34" s="28"/>
      <c r="P34" s="28"/>
      <c r="Q34" s="28"/>
      <c r="R34" s="28"/>
      <c r="S34" s="28"/>
      <c r="T34" s="28"/>
    </row>
    <row r="35" spans="1:20">
      <c r="A35" s="28"/>
      <c r="B35" s="28"/>
      <c r="C35" s="28"/>
      <c r="D35" s="28"/>
      <c r="E35" s="28"/>
      <c r="F35" s="28"/>
      <c r="G35" s="28"/>
      <c r="H35" s="28"/>
      <c r="I35" s="28"/>
      <c r="J35" s="28"/>
      <c r="K35" s="227" t="s">
        <v>146</v>
      </c>
      <c r="L35" s="228">
        <v>1000</v>
      </c>
      <c r="M35" s="28"/>
      <c r="N35" s="28"/>
      <c r="O35" s="28"/>
      <c r="P35" s="28"/>
      <c r="Q35" s="28"/>
      <c r="R35" s="28"/>
      <c r="S35" s="28"/>
      <c r="T35" s="28"/>
    </row>
    <row r="36" spans="1:20">
      <c r="A36" s="28"/>
      <c r="B36" s="28"/>
      <c r="C36" s="28"/>
      <c r="D36" s="28"/>
      <c r="E36" s="28"/>
      <c r="F36" s="28"/>
      <c r="G36" s="28"/>
      <c r="H36" s="28"/>
      <c r="I36" s="28"/>
      <c r="J36" s="28"/>
      <c r="K36" s="227" t="s">
        <v>147</v>
      </c>
      <c r="L36" s="228">
        <f>850+300</f>
        <v>1150</v>
      </c>
      <c r="M36" s="28"/>
      <c r="N36" s="28"/>
      <c r="O36" s="28"/>
      <c r="P36" s="28"/>
      <c r="Q36" s="28"/>
      <c r="R36" s="28"/>
      <c r="S36" s="28"/>
      <c r="T36" s="28"/>
    </row>
    <row r="37" spans="1:20">
      <c r="A37" s="28"/>
      <c r="B37" s="28"/>
      <c r="C37" s="28"/>
      <c r="D37" s="28"/>
      <c r="E37" s="28"/>
      <c r="F37" s="28"/>
      <c r="G37" s="28"/>
      <c r="H37" s="28"/>
      <c r="I37" s="28"/>
      <c r="J37" s="28"/>
      <c r="K37" s="227" t="s">
        <v>148</v>
      </c>
      <c r="L37" s="228">
        <f>5600+2500</f>
        <v>8100</v>
      </c>
      <c r="M37" s="28"/>
      <c r="N37" s="28"/>
      <c r="O37" s="28"/>
      <c r="P37" s="28"/>
      <c r="Q37" s="28"/>
      <c r="R37" s="28"/>
      <c r="S37" s="28"/>
      <c r="T37" s="28"/>
    </row>
    <row r="38" spans="1:20" ht="15" thickBot="1">
      <c r="A38" s="28"/>
      <c r="B38" s="28"/>
      <c r="C38" s="28"/>
      <c r="D38" s="28"/>
      <c r="E38" s="28"/>
      <c r="F38" s="28"/>
      <c r="G38" s="28"/>
      <c r="H38" s="28"/>
      <c r="I38" s="28"/>
      <c r="J38" s="28"/>
      <c r="K38" s="230" t="s">
        <v>87</v>
      </c>
      <c r="L38" s="231">
        <f>SUM(L32:L37)</f>
        <v>16950</v>
      </c>
      <c r="M38" s="28"/>
      <c r="N38" s="28"/>
      <c r="O38" s="28"/>
      <c r="P38" s="28"/>
      <c r="Q38" s="28"/>
      <c r="R38" s="28"/>
      <c r="S38" s="28"/>
      <c r="T38" s="28"/>
    </row>
  </sheetData>
  <mergeCells count="1">
    <mergeCell ref="I17:K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BD816-4164-428E-9364-E287E0FBC5CE}">
  <dimension ref="A1:H26"/>
  <sheetViews>
    <sheetView rightToLeft="1" workbookViewId="0">
      <selection activeCell="H21" sqref="H21"/>
    </sheetView>
  </sheetViews>
  <sheetFormatPr defaultRowHeight="14.25"/>
  <cols>
    <col min="3" max="3" width="14" bestFit="1" customWidth="1"/>
    <col min="4" max="4" width="9.875" customWidth="1"/>
    <col min="5" max="5" width="9.125" customWidth="1"/>
    <col min="6" max="6" width="5.5" customWidth="1"/>
    <col min="7" max="7" width="11.875" bestFit="1" customWidth="1"/>
    <col min="8" max="8" width="15.625" customWidth="1"/>
  </cols>
  <sheetData>
    <row r="1" spans="1:8">
      <c r="A1" s="419" t="s">
        <v>158</v>
      </c>
      <c r="B1" s="420"/>
      <c r="C1" s="420"/>
      <c r="D1" s="420"/>
      <c r="E1" s="420"/>
      <c r="F1" s="420"/>
      <c r="G1" s="420"/>
      <c r="H1" s="420"/>
    </row>
    <row r="2" spans="1:8">
      <c r="A2" s="421"/>
      <c r="B2" s="422"/>
      <c r="C2" s="422"/>
      <c r="D2" s="422"/>
      <c r="E2" s="422"/>
      <c r="F2" s="422"/>
      <c r="G2" s="422"/>
      <c r="H2" s="422"/>
    </row>
    <row r="3" spans="1:8">
      <c r="A3" s="421"/>
      <c r="B3" s="422"/>
      <c r="C3" s="422"/>
      <c r="D3" s="422"/>
      <c r="E3" s="422"/>
      <c r="F3" s="422"/>
      <c r="G3" s="422"/>
      <c r="H3" s="422"/>
    </row>
    <row r="4" spans="1:8">
      <c r="A4" s="423"/>
      <c r="B4" s="424"/>
      <c r="C4" s="424"/>
      <c r="D4" s="424"/>
      <c r="E4" s="424"/>
      <c r="F4" s="424"/>
      <c r="G4" s="424"/>
      <c r="H4" s="424"/>
    </row>
    <row r="5" spans="1:8" ht="15">
      <c r="A5" s="430" t="s">
        <v>159</v>
      </c>
      <c r="B5" s="431"/>
      <c r="C5" s="431" t="s">
        <v>10</v>
      </c>
      <c r="D5" s="431"/>
      <c r="E5" s="431" t="s">
        <v>160</v>
      </c>
      <c r="F5" s="431"/>
      <c r="G5" s="270" t="s">
        <v>161</v>
      </c>
      <c r="H5" s="270" t="s">
        <v>162</v>
      </c>
    </row>
    <row r="6" spans="1:8" ht="18" customHeight="1">
      <c r="A6" s="415">
        <v>23</v>
      </c>
      <c r="B6" s="416"/>
      <c r="C6" s="414">
        <v>600000</v>
      </c>
      <c r="D6" s="414"/>
      <c r="E6" s="414">
        <v>5000</v>
      </c>
      <c r="F6" s="414"/>
      <c r="G6" s="267">
        <v>0.04</v>
      </c>
      <c r="H6" s="269">
        <f>-FV((1+$G$6)^(1/12)-1,A6*12,$E$6,C6,0)</f>
        <v>3715897.0842005145</v>
      </c>
    </row>
    <row r="7" spans="1:8" ht="18" customHeight="1">
      <c r="A7" s="417" t="s">
        <v>163</v>
      </c>
      <c r="B7" s="418"/>
      <c r="C7" s="418" t="s">
        <v>164</v>
      </c>
      <c r="D7" s="418" t="s">
        <v>165</v>
      </c>
      <c r="E7" s="418" t="s">
        <v>166</v>
      </c>
      <c r="F7" s="418"/>
      <c r="G7" s="418"/>
      <c r="H7" s="418" t="s">
        <v>167</v>
      </c>
    </row>
    <row r="8" spans="1:8" ht="18" customHeight="1">
      <c r="A8" s="417"/>
      <c r="B8" s="418"/>
      <c r="C8" s="418"/>
      <c r="D8" s="418"/>
      <c r="E8" s="418"/>
      <c r="F8" s="418"/>
      <c r="G8" s="418"/>
      <c r="H8" s="418"/>
    </row>
    <row r="9" spans="1:8" ht="20.25" customHeight="1">
      <c r="A9" s="428" t="s">
        <v>168</v>
      </c>
      <c r="B9" s="429"/>
      <c r="C9" s="413">
        <v>1.7500000000000002E-2</v>
      </c>
      <c r="D9" s="413">
        <v>8.0000000000000004E-4</v>
      </c>
      <c r="E9" s="425">
        <f>-FV(A19,B19,C19,$C$6,0)</f>
        <v>3628678.870098467</v>
      </c>
      <c r="F9" s="425"/>
      <c r="G9" s="425"/>
      <c r="H9" s="427">
        <f>$H$6-E9</f>
        <v>87218.214102047496</v>
      </c>
    </row>
    <row r="10" spans="1:8" ht="20.25" customHeight="1">
      <c r="A10" s="428"/>
      <c r="B10" s="429"/>
      <c r="C10" s="413"/>
      <c r="D10" s="413"/>
      <c r="E10" s="425"/>
      <c r="F10" s="425"/>
      <c r="G10" s="425"/>
      <c r="H10" s="427"/>
    </row>
    <row r="11" spans="1:8" ht="14.25" customHeight="1">
      <c r="A11" s="432" t="s">
        <v>169</v>
      </c>
      <c r="B11" s="433"/>
      <c r="C11" s="413">
        <v>1.4999999999999999E-2</v>
      </c>
      <c r="D11" s="413">
        <v>5.0000000000000001E-4</v>
      </c>
      <c r="E11" s="425">
        <f>-FV(A20,B20,C20,$C$6,0)</f>
        <v>3652180.2575679673</v>
      </c>
      <c r="F11" s="425"/>
      <c r="G11" s="425"/>
      <c r="H11" s="426">
        <f>$H$6-E11</f>
        <v>63716.826632547192</v>
      </c>
    </row>
    <row r="12" spans="1:8" ht="14.25" customHeight="1">
      <c r="A12" s="432"/>
      <c r="B12" s="433"/>
      <c r="C12" s="413"/>
      <c r="D12" s="413"/>
      <c r="E12" s="425"/>
      <c r="F12" s="425"/>
      <c r="G12" s="425"/>
      <c r="H12" s="426"/>
    </row>
    <row r="13" spans="1:8" ht="14.25" customHeight="1">
      <c r="A13" s="428" t="s">
        <v>170</v>
      </c>
      <c r="B13" s="429"/>
      <c r="C13" s="413">
        <v>0.01</v>
      </c>
      <c r="D13" s="413">
        <v>1.8E-3</v>
      </c>
      <c r="E13" s="425">
        <f>-FV(A21,B21,C21,$C$6,0)</f>
        <v>3585969.9967437051</v>
      </c>
      <c r="F13" s="425"/>
      <c r="G13" s="425"/>
      <c r="H13" s="427">
        <f>$H$6-E13</f>
        <v>129927.08745680936</v>
      </c>
    </row>
    <row r="14" spans="1:8" ht="14.25" customHeight="1">
      <c r="A14" s="428"/>
      <c r="B14" s="429"/>
      <c r="C14" s="413"/>
      <c r="D14" s="413"/>
      <c r="E14" s="425"/>
      <c r="F14" s="425"/>
      <c r="G14" s="425"/>
      <c r="H14" s="427"/>
    </row>
    <row r="15" spans="1:8" ht="14.25" customHeight="1">
      <c r="A15" s="432" t="s">
        <v>171</v>
      </c>
      <c r="B15" s="433"/>
      <c r="C15" s="413">
        <v>6.0000000000000001E-3</v>
      </c>
      <c r="D15" s="413">
        <v>1.1999999999999999E-3</v>
      </c>
      <c r="E15" s="425">
        <f>-FV(A22,B22,C22,$C$6,0)</f>
        <v>3630244.6225980828</v>
      </c>
      <c r="F15" s="425"/>
      <c r="G15" s="425"/>
      <c r="H15" s="426">
        <f>$H$6-E15</f>
        <v>85652.461602431722</v>
      </c>
    </row>
    <row r="16" spans="1:8" ht="14.25" customHeight="1" thickBot="1">
      <c r="A16" s="434"/>
      <c r="B16" s="435"/>
      <c r="C16" s="436"/>
      <c r="D16" s="436"/>
      <c r="E16" s="437"/>
      <c r="F16" s="437"/>
      <c r="G16" s="437"/>
      <c r="H16" s="438"/>
    </row>
    <row r="17" spans="1:7" ht="14.25" customHeight="1"/>
    <row r="18" spans="1:7" ht="14.25" customHeight="1">
      <c r="A18" s="252" t="s">
        <v>172</v>
      </c>
      <c r="B18" s="252" t="s">
        <v>173</v>
      </c>
      <c r="C18" s="252" t="s">
        <v>174</v>
      </c>
    </row>
    <row r="19" spans="1:7" ht="14.25" customHeight="1">
      <c r="A19" s="253">
        <f>(($G$6-D9+1)^(1/12)-1)</f>
        <v>3.2094046775821283E-3</v>
      </c>
      <c r="B19" s="254">
        <f>$A$6*12</f>
        <v>276</v>
      </c>
      <c r="C19" s="268">
        <f>$E$6*(1-C9)</f>
        <v>4912.5</v>
      </c>
    </row>
    <row r="20" spans="1:7" ht="14.25" customHeight="1">
      <c r="A20" s="253">
        <f>(($G$6-D11+1)^(1/12)-1)</f>
        <v>3.2335356603379051E-3</v>
      </c>
      <c r="B20" s="254">
        <f>$A$6*12</f>
        <v>276</v>
      </c>
      <c r="C20" s="268">
        <f>$E$6*(1-C11)</f>
        <v>4925</v>
      </c>
    </row>
    <row r="21" spans="1:7" ht="18">
      <c r="A21" s="253">
        <f>(($G$6-D13+1)^(1/12)-1)</f>
        <v>3.1289219234786891E-3</v>
      </c>
      <c r="B21" s="254">
        <f>$A$6*12</f>
        <v>276</v>
      </c>
      <c r="C21" s="268">
        <f>$E$6*(1-C13)</f>
        <v>4950</v>
      </c>
    </row>
    <row r="22" spans="1:7" ht="18">
      <c r="A22" s="253">
        <f>(($G$6-D15+1)^(1/12)-1)</f>
        <v>3.1772200986699417E-3</v>
      </c>
      <c r="B22" s="254">
        <f>$A$6*12</f>
        <v>276</v>
      </c>
      <c r="C22" s="268">
        <f>$E$6*(1-C15)</f>
        <v>4970</v>
      </c>
    </row>
    <row r="26" spans="1:7">
      <c r="G26" s="340"/>
    </row>
  </sheetData>
  <mergeCells count="32">
    <mergeCell ref="A15:B16"/>
    <mergeCell ref="C15:C16"/>
    <mergeCell ref="D15:D16"/>
    <mergeCell ref="E15:G16"/>
    <mergeCell ref="H15:H16"/>
    <mergeCell ref="A13:B14"/>
    <mergeCell ref="C13:C14"/>
    <mergeCell ref="D13:D14"/>
    <mergeCell ref="E13:G14"/>
    <mergeCell ref="H13:H14"/>
    <mergeCell ref="H7:H8"/>
    <mergeCell ref="A1:H4"/>
    <mergeCell ref="E9:G10"/>
    <mergeCell ref="E11:G12"/>
    <mergeCell ref="H11:H12"/>
    <mergeCell ref="H9:H10"/>
    <mergeCell ref="C9:C10"/>
    <mergeCell ref="A9:B10"/>
    <mergeCell ref="D9:D10"/>
    <mergeCell ref="E6:F6"/>
    <mergeCell ref="A5:B5"/>
    <mergeCell ref="C5:D5"/>
    <mergeCell ref="E5:F5"/>
    <mergeCell ref="E7:G8"/>
    <mergeCell ref="A11:B12"/>
    <mergeCell ref="C11:C12"/>
    <mergeCell ref="D11:D12"/>
    <mergeCell ref="C6:D6"/>
    <mergeCell ref="A6:B6"/>
    <mergeCell ref="A7:B8"/>
    <mergeCell ref="C7:C8"/>
    <mergeCell ref="D7:D8"/>
  </mergeCells>
  <conditionalFormatting sqref="E13:G16 E9 E11">
    <cfRule type="top10" dxfId="19" priority="3" bottom="1" rank="1"/>
    <cfRule type="top10" dxfId="18" priority="4" rank="1"/>
  </conditionalFormatting>
  <conditionalFormatting sqref="H13:H16 H9 H11">
    <cfRule type="top10" dxfId="17" priority="5" bottom="1" rank="1"/>
    <cfRule type="top10" dxfId="16" priority="6" rank="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E9FA-09FC-45C6-9267-653B279262DB}">
  <dimension ref="A2:AC53"/>
  <sheetViews>
    <sheetView rightToLeft="1" topLeftCell="F19" zoomScale="85" zoomScaleNormal="85" workbookViewId="0">
      <selection activeCell="AA53" sqref="AA53"/>
    </sheetView>
  </sheetViews>
  <sheetFormatPr defaultRowHeight="14.25"/>
  <cols>
    <col min="1" max="1" width="20.875" bestFit="1" customWidth="1"/>
    <col min="2" max="2" width="17.875" bestFit="1" customWidth="1"/>
    <col min="14" max="14" width="12.875" bestFit="1" customWidth="1"/>
    <col min="15" max="15" width="34.375" bestFit="1" customWidth="1"/>
    <col min="16" max="16" width="16.25" bestFit="1" customWidth="1"/>
    <col min="17" max="17" width="16.125" bestFit="1" customWidth="1"/>
    <col min="18" max="18" width="10.125" bestFit="1" customWidth="1"/>
    <col min="19" max="19" width="7.375" bestFit="1" customWidth="1"/>
    <col min="21" max="21" width="12.5" bestFit="1" customWidth="1"/>
    <col min="22" max="22" width="9.375" bestFit="1" customWidth="1"/>
    <col min="23" max="23" width="10.375" customWidth="1"/>
    <col min="24" max="24" width="15.875" customWidth="1"/>
    <col min="25" max="25" width="19.625" customWidth="1"/>
  </cols>
  <sheetData>
    <row r="2" spans="1:29" ht="15" thickBot="1"/>
    <row r="3" spans="1:29">
      <c r="A3" s="419" t="s">
        <v>175</v>
      </c>
      <c r="B3" s="420"/>
      <c r="C3" s="420"/>
      <c r="D3" s="420"/>
      <c r="E3" s="420"/>
      <c r="F3" s="420"/>
      <c r="G3" s="420"/>
      <c r="H3" s="420"/>
      <c r="I3" s="420"/>
      <c r="J3" s="420"/>
      <c r="K3" s="420"/>
      <c r="L3" s="479"/>
      <c r="N3" s="477" t="s">
        <v>194</v>
      </c>
      <c r="O3" s="477"/>
      <c r="P3" s="477"/>
      <c r="Q3" s="477"/>
      <c r="R3" s="477"/>
      <c r="S3" s="477"/>
      <c r="T3" s="477"/>
      <c r="U3" s="477"/>
      <c r="V3" s="477"/>
      <c r="W3" s="477"/>
      <c r="X3" s="477"/>
      <c r="Y3" s="477"/>
      <c r="Z3" s="477"/>
      <c r="AA3" s="477"/>
      <c r="AB3" s="477"/>
      <c r="AC3" s="477"/>
    </row>
    <row r="4" spans="1:29">
      <c r="A4" s="421"/>
      <c r="B4" s="422"/>
      <c r="C4" s="422"/>
      <c r="D4" s="422"/>
      <c r="E4" s="422"/>
      <c r="F4" s="422"/>
      <c r="G4" s="422"/>
      <c r="H4" s="422"/>
      <c r="I4" s="422"/>
      <c r="J4" s="422"/>
      <c r="K4" s="422"/>
      <c r="L4" s="480"/>
      <c r="N4" s="477"/>
      <c r="O4" s="477"/>
      <c r="P4" s="477"/>
      <c r="Q4" s="477"/>
      <c r="R4" s="477"/>
      <c r="S4" s="477"/>
      <c r="T4" s="477"/>
      <c r="U4" s="477"/>
      <c r="V4" s="477"/>
      <c r="W4" s="477"/>
      <c r="X4" s="477"/>
      <c r="Y4" s="477"/>
      <c r="Z4" s="477"/>
      <c r="AA4" s="477"/>
      <c r="AB4" s="477"/>
      <c r="AC4" s="477"/>
    </row>
    <row r="5" spans="1:29" ht="14.25" customHeight="1">
      <c r="A5" s="421"/>
      <c r="B5" s="422"/>
      <c r="C5" s="422"/>
      <c r="D5" s="422"/>
      <c r="E5" s="422"/>
      <c r="F5" s="422"/>
      <c r="G5" s="422"/>
      <c r="H5" s="422"/>
      <c r="I5" s="422"/>
      <c r="J5" s="422"/>
      <c r="K5" s="422"/>
      <c r="L5" s="480"/>
      <c r="N5" s="477"/>
      <c r="O5" s="477"/>
      <c r="P5" s="477"/>
      <c r="Q5" s="477"/>
      <c r="R5" s="477"/>
      <c r="S5" s="477"/>
      <c r="T5" s="477"/>
      <c r="U5" s="477"/>
      <c r="V5" s="477"/>
      <c r="W5" s="477"/>
      <c r="X5" s="477"/>
      <c r="Y5" s="477"/>
      <c r="Z5" s="477"/>
      <c r="AA5" s="477"/>
      <c r="AB5" s="477"/>
      <c r="AC5" s="477"/>
    </row>
    <row r="6" spans="1:29" ht="15" thickBot="1">
      <c r="A6" s="481"/>
      <c r="B6" s="482"/>
      <c r="C6" s="482"/>
      <c r="D6" s="482"/>
      <c r="E6" s="482"/>
      <c r="F6" s="482"/>
      <c r="G6" s="482"/>
      <c r="H6" s="482"/>
      <c r="I6" s="482"/>
      <c r="J6" s="482"/>
      <c r="K6" s="482"/>
      <c r="L6" s="483"/>
      <c r="N6" s="478" t="s">
        <v>195</v>
      </c>
      <c r="O6" s="478"/>
      <c r="P6" s="478"/>
      <c r="Q6" s="478"/>
      <c r="R6" s="478"/>
      <c r="S6" s="478"/>
      <c r="T6" s="478"/>
      <c r="U6" s="478"/>
      <c r="V6" s="478"/>
      <c r="W6" s="478"/>
      <c r="X6" s="478"/>
      <c r="Y6" s="478"/>
      <c r="Z6" s="478"/>
      <c r="AA6" s="478"/>
      <c r="AB6" s="478"/>
      <c r="AC6" s="478"/>
    </row>
    <row r="7" spans="1:29">
      <c r="A7" s="484" t="s">
        <v>176</v>
      </c>
      <c r="B7" s="486" t="s">
        <v>10</v>
      </c>
      <c r="C7" s="486" t="s">
        <v>177</v>
      </c>
      <c r="D7" s="488" t="s">
        <v>178</v>
      </c>
      <c r="E7" s="489"/>
      <c r="F7" s="488" t="s">
        <v>179</v>
      </c>
      <c r="G7" s="489"/>
      <c r="H7" s="492" t="s">
        <v>180</v>
      </c>
      <c r="I7" s="493"/>
      <c r="J7" s="496" t="s">
        <v>67</v>
      </c>
      <c r="K7" s="497"/>
      <c r="L7" s="498"/>
      <c r="N7" s="478"/>
      <c r="O7" s="478"/>
      <c r="P7" s="478"/>
      <c r="Q7" s="478"/>
      <c r="R7" s="478"/>
      <c r="S7" s="478"/>
      <c r="T7" s="478"/>
      <c r="U7" s="478"/>
      <c r="V7" s="478"/>
      <c r="W7" s="478"/>
      <c r="X7" s="478"/>
      <c r="Y7" s="478"/>
      <c r="Z7" s="478"/>
      <c r="AA7" s="478"/>
      <c r="AB7" s="478"/>
      <c r="AC7" s="478"/>
    </row>
    <row r="8" spans="1:29" ht="15" customHeight="1" thickBot="1">
      <c r="A8" s="485"/>
      <c r="B8" s="487"/>
      <c r="C8" s="487"/>
      <c r="D8" s="490"/>
      <c r="E8" s="491"/>
      <c r="F8" s="490"/>
      <c r="G8" s="491"/>
      <c r="H8" s="494"/>
      <c r="I8" s="495"/>
      <c r="J8" s="499"/>
      <c r="K8" s="500"/>
      <c r="L8" s="501"/>
      <c r="N8" s="478"/>
      <c r="O8" s="478"/>
      <c r="P8" s="478"/>
      <c r="Q8" s="478"/>
      <c r="R8" s="478"/>
      <c r="S8" s="478"/>
      <c r="T8" s="478"/>
      <c r="U8" s="478"/>
      <c r="V8" s="478"/>
      <c r="W8" s="478"/>
      <c r="X8" s="478"/>
      <c r="Y8" s="478"/>
      <c r="Z8" s="478"/>
      <c r="AA8" s="478"/>
      <c r="AB8" s="478"/>
      <c r="AC8" s="478"/>
    </row>
    <row r="9" spans="1:29" ht="20.25" customHeight="1">
      <c r="A9" s="255" t="s">
        <v>181</v>
      </c>
      <c r="B9" s="256">
        <v>570000</v>
      </c>
      <c r="C9" s="257" t="s">
        <v>182</v>
      </c>
      <c r="D9" s="502">
        <v>8.0000000000000004E-4</v>
      </c>
      <c r="E9" s="503"/>
      <c r="F9" s="504">
        <v>1.7500000000000002E-2</v>
      </c>
      <c r="G9" s="505"/>
      <c r="H9" s="506" t="s">
        <v>183</v>
      </c>
      <c r="I9" s="507"/>
      <c r="J9" s="506"/>
      <c r="K9" s="508"/>
      <c r="L9" s="509"/>
      <c r="N9" s="449" t="s">
        <v>196</v>
      </c>
      <c r="O9" s="449"/>
      <c r="P9" s="449" t="s">
        <v>197</v>
      </c>
      <c r="Q9" s="449"/>
      <c r="R9" s="449" t="s">
        <v>198</v>
      </c>
      <c r="S9" s="449"/>
      <c r="T9" s="449" t="s">
        <v>199</v>
      </c>
      <c r="U9" s="449"/>
      <c r="V9" s="449" t="s">
        <v>1</v>
      </c>
      <c r="W9" s="449"/>
      <c r="X9" s="449" t="s">
        <v>200</v>
      </c>
      <c r="Y9" s="449"/>
      <c r="Z9" s="271" t="s">
        <v>201</v>
      </c>
      <c r="AA9" s="271" t="s">
        <v>202</v>
      </c>
      <c r="AB9" s="449" t="s">
        <v>203</v>
      </c>
      <c r="AC9" s="449"/>
    </row>
    <row r="10" spans="1:29" ht="20.25" customHeight="1">
      <c r="A10" s="258" t="s">
        <v>184</v>
      </c>
      <c r="B10" s="259">
        <v>167500</v>
      </c>
      <c r="C10" s="260" t="s">
        <v>185</v>
      </c>
      <c r="D10" s="510">
        <v>7.0000000000000001E-3</v>
      </c>
      <c r="E10" s="511"/>
      <c r="F10" s="512">
        <v>0</v>
      </c>
      <c r="G10" s="513"/>
      <c r="H10" s="514" t="s">
        <v>186</v>
      </c>
      <c r="I10" s="515"/>
      <c r="J10" s="514"/>
      <c r="K10" s="516"/>
      <c r="L10" s="517"/>
      <c r="N10" s="449" t="s">
        <v>204</v>
      </c>
      <c r="O10" s="449"/>
      <c r="P10" s="450" t="s">
        <v>205</v>
      </c>
      <c r="Q10" s="450"/>
      <c r="R10" s="451" t="s">
        <v>206</v>
      </c>
      <c r="S10" s="451"/>
      <c r="T10" s="449">
        <v>1159250</v>
      </c>
      <c r="U10" s="449"/>
      <c r="V10" s="452">
        <v>6.9999999999999999E-4</v>
      </c>
      <c r="W10" s="449"/>
      <c r="X10" s="449" t="s">
        <v>207</v>
      </c>
      <c r="Y10" s="449"/>
      <c r="Z10" s="272" t="s">
        <v>208</v>
      </c>
      <c r="AA10" s="271" t="s">
        <v>209</v>
      </c>
      <c r="AB10" s="468" t="s">
        <v>210</v>
      </c>
      <c r="AC10" s="469"/>
    </row>
    <row r="11" spans="1:29" ht="20.25">
      <c r="A11" s="261" t="s">
        <v>187</v>
      </c>
      <c r="B11" s="262">
        <v>52400</v>
      </c>
      <c r="C11" s="263" t="s">
        <v>185</v>
      </c>
      <c r="D11" s="518">
        <v>7.0000000000000001E-3</v>
      </c>
      <c r="E11" s="519"/>
      <c r="F11" s="520">
        <v>0</v>
      </c>
      <c r="G11" s="521"/>
      <c r="H11" s="514" t="s">
        <v>186</v>
      </c>
      <c r="I11" s="515"/>
      <c r="J11" s="522"/>
      <c r="K11" s="523"/>
      <c r="L11" s="524"/>
      <c r="N11" s="449" t="s">
        <v>204</v>
      </c>
      <c r="O11" s="449"/>
      <c r="P11" s="457" t="s">
        <v>211</v>
      </c>
      <c r="Q11" s="457"/>
      <c r="R11" s="458" t="s">
        <v>212</v>
      </c>
      <c r="S11" s="458"/>
      <c r="T11" s="456">
        <v>1159235</v>
      </c>
      <c r="U11" s="456"/>
      <c r="V11" s="459">
        <v>2E-3</v>
      </c>
      <c r="W11" s="459"/>
      <c r="X11" s="456" t="s">
        <v>207</v>
      </c>
      <c r="Y11" s="456"/>
      <c r="Z11" s="272" t="s">
        <v>208</v>
      </c>
      <c r="AA11" s="271" t="s">
        <v>209</v>
      </c>
      <c r="AB11" s="468" t="s">
        <v>213</v>
      </c>
      <c r="AC11" s="469"/>
    </row>
    <row r="12" spans="1:29" ht="20.25" customHeight="1">
      <c r="A12" s="264"/>
      <c r="B12" s="265"/>
      <c r="C12" s="266"/>
      <c r="D12" s="525">
        <v>0</v>
      </c>
      <c r="E12" s="526"/>
      <c r="F12" s="527" t="s">
        <v>7</v>
      </c>
      <c r="G12" s="528"/>
      <c r="H12" s="529"/>
      <c r="I12" s="530"/>
      <c r="J12" s="529"/>
      <c r="K12" s="531"/>
      <c r="L12" s="532"/>
      <c r="N12" s="449" t="s">
        <v>204</v>
      </c>
      <c r="O12" s="449"/>
      <c r="P12" s="454" t="s">
        <v>214</v>
      </c>
      <c r="Q12" s="455"/>
      <c r="R12" s="447" t="s">
        <v>215</v>
      </c>
      <c r="S12" s="448"/>
      <c r="T12" s="441">
        <v>1159243</v>
      </c>
      <c r="U12" s="442"/>
      <c r="V12" s="443">
        <v>3.3E-3</v>
      </c>
      <c r="W12" s="444"/>
      <c r="X12" s="441" t="s">
        <v>207</v>
      </c>
      <c r="Y12" s="442"/>
      <c r="Z12" s="272" t="s">
        <v>208</v>
      </c>
      <c r="AA12" s="271" t="s">
        <v>209</v>
      </c>
      <c r="AB12" s="470" t="s">
        <v>216</v>
      </c>
      <c r="AC12" s="471"/>
    </row>
    <row r="13" spans="1:29" ht="20.25" customHeight="1">
      <c r="A13" s="258"/>
      <c r="B13" s="260"/>
      <c r="C13" s="260"/>
      <c r="D13" s="510">
        <v>0</v>
      </c>
      <c r="E13" s="511"/>
      <c r="F13" s="512" t="s">
        <v>7</v>
      </c>
      <c r="G13" s="513"/>
      <c r="H13" s="514"/>
      <c r="I13" s="515"/>
      <c r="J13" s="514"/>
      <c r="K13" s="516"/>
      <c r="L13" s="517"/>
      <c r="N13" s="449" t="s">
        <v>217</v>
      </c>
      <c r="O13" s="449"/>
      <c r="P13" s="450" t="s">
        <v>218</v>
      </c>
      <c r="Q13" s="450"/>
      <c r="R13" s="451" t="s">
        <v>206</v>
      </c>
      <c r="S13" s="451"/>
      <c r="T13" s="449">
        <v>1183441</v>
      </c>
      <c r="U13" s="449"/>
      <c r="V13" s="452">
        <v>8.9999999999999998E-4</v>
      </c>
      <c r="W13" s="449"/>
      <c r="X13" s="449" t="s">
        <v>207</v>
      </c>
      <c r="Y13" s="449"/>
      <c r="Z13" s="272" t="s">
        <v>208</v>
      </c>
      <c r="AA13" s="271" t="s">
        <v>209</v>
      </c>
      <c r="AB13" s="468" t="s">
        <v>219</v>
      </c>
      <c r="AC13" s="469"/>
    </row>
    <row r="14" spans="1:29" ht="20.25" customHeight="1">
      <c r="A14" s="261"/>
      <c r="B14" s="263"/>
      <c r="C14" s="263"/>
      <c r="D14" s="518">
        <v>0</v>
      </c>
      <c r="E14" s="519"/>
      <c r="F14" s="520" t="s">
        <v>7</v>
      </c>
      <c r="G14" s="521"/>
      <c r="H14" s="522"/>
      <c r="I14" s="533"/>
      <c r="J14" s="522"/>
      <c r="K14" s="523"/>
      <c r="L14" s="524"/>
      <c r="N14" s="449" t="s">
        <v>217</v>
      </c>
      <c r="O14" s="449"/>
      <c r="P14" s="450" t="s">
        <v>220</v>
      </c>
      <c r="Q14" s="450"/>
      <c r="R14" s="453" t="s">
        <v>221</v>
      </c>
      <c r="S14" s="453"/>
      <c r="T14" s="449">
        <v>1185164</v>
      </c>
      <c r="U14" s="449"/>
      <c r="V14" s="452">
        <v>2.2000000000000001E-3</v>
      </c>
      <c r="W14" s="449"/>
      <c r="X14" s="449" t="s">
        <v>207</v>
      </c>
      <c r="Y14" s="449"/>
      <c r="Z14" s="272" t="s">
        <v>208</v>
      </c>
      <c r="AA14" s="271" t="s">
        <v>209</v>
      </c>
      <c r="AB14" s="468" t="s">
        <v>222</v>
      </c>
      <c r="AC14" s="469"/>
    </row>
    <row r="15" spans="1:29" ht="20.25" customHeight="1">
      <c r="A15" s="264"/>
      <c r="B15" s="266"/>
      <c r="C15" s="266"/>
      <c r="D15" s="525">
        <v>0</v>
      </c>
      <c r="E15" s="526"/>
      <c r="F15" s="527" t="s">
        <v>7</v>
      </c>
      <c r="G15" s="528"/>
      <c r="H15" s="529"/>
      <c r="I15" s="530"/>
      <c r="J15" s="529"/>
      <c r="K15" s="531"/>
      <c r="L15" s="532"/>
      <c r="N15" s="456" t="s">
        <v>217</v>
      </c>
      <c r="O15" s="456"/>
      <c r="P15" s="460" t="s">
        <v>223</v>
      </c>
      <c r="Q15" s="461"/>
      <c r="R15" s="462" t="s">
        <v>215</v>
      </c>
      <c r="S15" s="463"/>
      <c r="T15" s="464">
        <v>1186063</v>
      </c>
      <c r="U15" s="465"/>
      <c r="V15" s="466">
        <v>2E-3</v>
      </c>
      <c r="W15" s="467"/>
      <c r="X15" s="464" t="s">
        <v>207</v>
      </c>
      <c r="Y15" s="465"/>
      <c r="Z15" s="272" t="s">
        <v>208</v>
      </c>
      <c r="AA15" s="271" t="s">
        <v>209</v>
      </c>
      <c r="AB15" s="470" t="s">
        <v>224</v>
      </c>
      <c r="AC15" s="471"/>
    </row>
    <row r="16" spans="1:29" ht="20.25" customHeight="1">
      <c r="A16" s="258"/>
      <c r="B16" s="260"/>
      <c r="C16" s="260"/>
      <c r="D16" s="510">
        <v>0</v>
      </c>
      <c r="E16" s="511"/>
      <c r="F16" s="512" t="s">
        <v>7</v>
      </c>
      <c r="G16" s="513"/>
      <c r="H16" s="514"/>
      <c r="I16" s="515"/>
      <c r="J16" s="514"/>
      <c r="K16" s="516"/>
      <c r="L16" s="517"/>
      <c r="N16" s="449" t="s">
        <v>217</v>
      </c>
      <c r="O16" s="449"/>
      <c r="P16" s="454" t="s">
        <v>225</v>
      </c>
      <c r="Q16" s="455"/>
      <c r="R16" s="447" t="s">
        <v>226</v>
      </c>
      <c r="S16" s="448"/>
      <c r="T16" s="441">
        <v>1206895</v>
      </c>
      <c r="U16" s="442"/>
      <c r="V16" s="443">
        <v>2.5000000000000001E-3</v>
      </c>
      <c r="W16" s="444"/>
      <c r="X16" s="441" t="s">
        <v>207</v>
      </c>
      <c r="Y16" s="442"/>
      <c r="Z16" s="272" t="s">
        <v>208</v>
      </c>
      <c r="AA16" s="271" t="s">
        <v>209</v>
      </c>
      <c r="AB16" s="470" t="s">
        <v>227</v>
      </c>
      <c r="AC16" s="471"/>
    </row>
    <row r="17" spans="1:29" ht="20.25" customHeight="1">
      <c r="A17" s="261"/>
      <c r="B17" s="263"/>
      <c r="C17" s="263"/>
      <c r="D17" s="518">
        <v>0</v>
      </c>
      <c r="E17" s="519"/>
      <c r="F17" s="520" t="s">
        <v>7</v>
      </c>
      <c r="G17" s="521"/>
      <c r="H17" s="522"/>
      <c r="I17" s="533"/>
      <c r="J17" s="522"/>
      <c r="K17" s="523"/>
      <c r="L17" s="524"/>
      <c r="N17" s="456" t="s">
        <v>228</v>
      </c>
      <c r="O17" s="456"/>
      <c r="P17" s="457" t="s">
        <v>229</v>
      </c>
      <c r="Q17" s="457"/>
      <c r="R17" s="458" t="s">
        <v>230</v>
      </c>
      <c r="S17" s="458"/>
      <c r="T17" s="456">
        <v>1143718</v>
      </c>
      <c r="U17" s="456"/>
      <c r="V17" s="459">
        <v>2E-3</v>
      </c>
      <c r="W17" s="459"/>
      <c r="X17" s="449" t="s">
        <v>207</v>
      </c>
      <c r="Y17" s="449"/>
      <c r="Z17" s="273" t="s">
        <v>231</v>
      </c>
      <c r="AA17" s="271" t="s">
        <v>209</v>
      </c>
      <c r="AB17" s="468" t="s">
        <v>232</v>
      </c>
      <c r="AC17" s="469"/>
    </row>
    <row r="18" spans="1:29" ht="20.25" customHeight="1">
      <c r="A18" s="264"/>
      <c r="B18" s="265"/>
      <c r="C18" s="265"/>
      <c r="D18" s="525" t="s">
        <v>7</v>
      </c>
      <c r="E18" s="526"/>
      <c r="F18" s="527" t="s">
        <v>7</v>
      </c>
      <c r="G18" s="528"/>
      <c r="H18" s="529"/>
      <c r="I18" s="530"/>
      <c r="J18" s="529"/>
      <c r="K18" s="531"/>
      <c r="L18" s="532"/>
      <c r="N18" s="449" t="s">
        <v>233</v>
      </c>
      <c r="O18" s="449"/>
      <c r="P18" s="450" t="s">
        <v>234</v>
      </c>
      <c r="Q18" s="450"/>
      <c r="R18" s="453" t="s">
        <v>235</v>
      </c>
      <c r="S18" s="453"/>
      <c r="T18" s="449">
        <v>1146570</v>
      </c>
      <c r="U18" s="449"/>
      <c r="V18" s="452">
        <v>2.5000000000000001E-3</v>
      </c>
      <c r="W18" s="449"/>
      <c r="X18" s="449" t="s">
        <v>207</v>
      </c>
      <c r="Y18" s="449"/>
      <c r="Z18" s="273" t="s">
        <v>231</v>
      </c>
      <c r="AA18" s="271" t="s">
        <v>209</v>
      </c>
      <c r="AB18" s="468" t="s">
        <v>236</v>
      </c>
      <c r="AC18" s="469"/>
    </row>
    <row r="19" spans="1:29" ht="20.25" customHeight="1">
      <c r="A19" s="258"/>
      <c r="B19" s="259"/>
      <c r="C19" s="259"/>
      <c r="D19" s="510" t="s">
        <v>7</v>
      </c>
      <c r="E19" s="511"/>
      <c r="F19" s="512" t="s">
        <v>7</v>
      </c>
      <c r="G19" s="513"/>
      <c r="H19" s="514"/>
      <c r="I19" s="515"/>
      <c r="J19" s="514"/>
      <c r="K19" s="516"/>
      <c r="L19" s="517"/>
      <c r="N19" s="449" t="s">
        <v>233</v>
      </c>
      <c r="O19" s="449"/>
      <c r="P19" s="450" t="s">
        <v>237</v>
      </c>
      <c r="Q19" s="450"/>
      <c r="R19" s="453" t="s">
        <v>238</v>
      </c>
      <c r="S19" s="453"/>
      <c r="T19" s="449">
        <v>1146646</v>
      </c>
      <c r="U19" s="449"/>
      <c r="V19" s="452">
        <v>1.5E-3</v>
      </c>
      <c r="W19" s="449"/>
      <c r="X19" s="449" t="s">
        <v>207</v>
      </c>
      <c r="Y19" s="449"/>
      <c r="Z19" s="273" t="s">
        <v>231</v>
      </c>
      <c r="AA19" s="271" t="s">
        <v>209</v>
      </c>
      <c r="AB19" s="468" t="s">
        <v>239</v>
      </c>
      <c r="AC19" s="469"/>
    </row>
    <row r="20" spans="1:29" ht="20.25" customHeight="1">
      <c r="A20" s="261" t="s">
        <v>188</v>
      </c>
      <c r="B20" s="262">
        <v>24000</v>
      </c>
      <c r="C20" s="262"/>
      <c r="D20" s="518" t="s">
        <v>7</v>
      </c>
      <c r="E20" s="519"/>
      <c r="F20" s="520" t="s">
        <v>7</v>
      </c>
      <c r="G20" s="521"/>
      <c r="H20" s="522"/>
      <c r="I20" s="533"/>
      <c r="J20" s="522"/>
      <c r="K20" s="523"/>
      <c r="L20" s="524"/>
      <c r="N20" s="441" t="s">
        <v>240</v>
      </c>
      <c r="O20" s="442"/>
      <c r="P20" s="445" t="s">
        <v>241</v>
      </c>
      <c r="Q20" s="446"/>
      <c r="R20" s="447" t="s">
        <v>242</v>
      </c>
      <c r="S20" s="448"/>
      <c r="T20" s="441">
        <v>5117866</v>
      </c>
      <c r="U20" s="442"/>
      <c r="V20" s="443">
        <v>1.5E-3</v>
      </c>
      <c r="W20" s="444"/>
      <c r="X20" s="441" t="s">
        <v>207</v>
      </c>
      <c r="Y20" s="442"/>
      <c r="Z20" s="273" t="s">
        <v>231</v>
      </c>
      <c r="AA20" s="271" t="s">
        <v>209</v>
      </c>
      <c r="AB20" s="470" t="s">
        <v>243</v>
      </c>
      <c r="AC20" s="471"/>
    </row>
    <row r="21" spans="1:29" ht="20.25" customHeight="1">
      <c r="A21" s="264" t="s">
        <v>189</v>
      </c>
      <c r="B21" s="265">
        <v>108000</v>
      </c>
      <c r="C21" s="265" t="s">
        <v>190</v>
      </c>
      <c r="D21" s="525" t="s">
        <v>7</v>
      </c>
      <c r="E21" s="526"/>
      <c r="F21" s="527" t="s">
        <v>7</v>
      </c>
      <c r="G21" s="528"/>
      <c r="H21" s="529"/>
      <c r="I21" s="530"/>
      <c r="J21" s="529"/>
      <c r="K21" s="531"/>
      <c r="L21" s="532"/>
      <c r="N21" s="441" t="s">
        <v>244</v>
      </c>
      <c r="O21" s="442"/>
      <c r="P21" s="454" t="s">
        <v>245</v>
      </c>
      <c r="Q21" s="455"/>
      <c r="R21" s="439" t="s">
        <v>246</v>
      </c>
      <c r="S21" s="440"/>
      <c r="T21" s="441">
        <v>5131701</v>
      </c>
      <c r="U21" s="442"/>
      <c r="V21" s="443">
        <v>8.0000000000000004E-4</v>
      </c>
      <c r="W21" s="444"/>
      <c r="X21" s="441" t="s">
        <v>207</v>
      </c>
      <c r="Y21" s="442"/>
      <c r="Z21" s="273" t="s">
        <v>231</v>
      </c>
      <c r="AA21" s="271" t="s">
        <v>209</v>
      </c>
      <c r="AB21" s="470" t="s">
        <v>247</v>
      </c>
      <c r="AC21" s="471"/>
    </row>
    <row r="22" spans="1:29" ht="21" customHeight="1" thickBot="1">
      <c r="A22" s="258" t="s">
        <v>100</v>
      </c>
      <c r="B22" s="259">
        <v>20000</v>
      </c>
      <c r="C22" s="259"/>
      <c r="D22" s="510" t="s">
        <v>7</v>
      </c>
      <c r="E22" s="511"/>
      <c r="F22" s="512" t="s">
        <v>7</v>
      </c>
      <c r="G22" s="513"/>
      <c r="H22" s="514"/>
      <c r="I22" s="515"/>
      <c r="J22" s="514"/>
      <c r="K22" s="516"/>
      <c r="L22" s="517"/>
      <c r="N22" s="449" t="s">
        <v>248</v>
      </c>
      <c r="O22" s="449"/>
      <c r="P22" s="450" t="s">
        <v>249</v>
      </c>
      <c r="Q22" s="450"/>
      <c r="R22" s="453" t="s">
        <v>250</v>
      </c>
      <c r="S22" s="453"/>
      <c r="T22" s="449" t="s">
        <v>251</v>
      </c>
      <c r="U22" s="449"/>
      <c r="V22" s="452">
        <v>6.9999999999999999E-4</v>
      </c>
      <c r="W22" s="449"/>
      <c r="X22" s="449" t="s">
        <v>252</v>
      </c>
      <c r="Y22" s="449"/>
      <c r="Z22" s="274" t="s">
        <v>253</v>
      </c>
      <c r="AA22" s="271" t="s">
        <v>254</v>
      </c>
      <c r="AB22" s="468" t="s">
        <v>255</v>
      </c>
      <c r="AC22" s="469"/>
    </row>
    <row r="23" spans="1:29" ht="18" customHeight="1">
      <c r="A23" s="534" t="s">
        <v>191</v>
      </c>
      <c r="B23" s="535"/>
      <c r="C23" s="535"/>
      <c r="D23" s="535"/>
      <c r="E23" s="535"/>
      <c r="F23" s="535"/>
      <c r="G23" s="535"/>
      <c r="H23" s="535"/>
      <c r="I23" s="535"/>
      <c r="J23" s="535"/>
      <c r="K23" s="535"/>
      <c r="L23" s="536"/>
      <c r="N23" s="449" t="s">
        <v>248</v>
      </c>
      <c r="O23" s="449"/>
      <c r="P23" s="450" t="s">
        <v>256</v>
      </c>
      <c r="Q23" s="450"/>
      <c r="R23" s="451" t="s">
        <v>206</v>
      </c>
      <c r="S23" s="451"/>
      <c r="T23" s="449" t="s">
        <v>257</v>
      </c>
      <c r="U23" s="449"/>
      <c r="V23" s="452">
        <v>2.9999999999999997E-4</v>
      </c>
      <c r="W23" s="449"/>
      <c r="X23" s="449" t="s">
        <v>252</v>
      </c>
      <c r="Y23" s="449"/>
      <c r="Z23" s="274" t="s">
        <v>253</v>
      </c>
      <c r="AA23" s="271" t="s">
        <v>254</v>
      </c>
      <c r="AB23" s="468" t="s">
        <v>258</v>
      </c>
      <c r="AC23" s="469"/>
    </row>
    <row r="24" spans="1:29" ht="18.75" customHeight="1" thickBot="1">
      <c r="A24" s="537"/>
      <c r="B24" s="538"/>
      <c r="C24" s="538"/>
      <c r="D24" s="538"/>
      <c r="E24" s="538"/>
      <c r="F24" s="538"/>
      <c r="G24" s="538"/>
      <c r="H24" s="538"/>
      <c r="I24" s="538"/>
      <c r="J24" s="538"/>
      <c r="K24" s="538"/>
      <c r="L24" s="539"/>
      <c r="N24" s="449" t="s">
        <v>248</v>
      </c>
      <c r="O24" s="449"/>
      <c r="P24" s="450" t="s">
        <v>259</v>
      </c>
      <c r="Q24" s="450"/>
      <c r="R24" s="451" t="s">
        <v>260</v>
      </c>
      <c r="S24" s="451"/>
      <c r="T24" s="449" t="s">
        <v>261</v>
      </c>
      <c r="U24" s="449"/>
      <c r="V24" s="452">
        <v>2.9999999999999997E-4</v>
      </c>
      <c r="W24" s="452"/>
      <c r="X24" s="449" t="s">
        <v>252</v>
      </c>
      <c r="Y24" s="449"/>
      <c r="Z24" s="274" t="s">
        <v>253</v>
      </c>
      <c r="AA24" s="271" t="s">
        <v>254</v>
      </c>
      <c r="AB24" s="468" t="s">
        <v>262</v>
      </c>
      <c r="AC24" s="469"/>
    </row>
    <row r="25" spans="1:29" ht="18" customHeight="1">
      <c r="A25" s="540">
        <f>SUM(B9:B22)</f>
        <v>941900</v>
      </c>
      <c r="B25" s="541"/>
      <c r="C25" s="541"/>
      <c r="D25" s="541"/>
      <c r="E25" s="541"/>
      <c r="F25" s="541"/>
      <c r="G25" s="541"/>
      <c r="H25" s="541"/>
      <c r="I25" s="541"/>
      <c r="J25" s="541"/>
      <c r="K25" s="541"/>
      <c r="L25" s="542"/>
      <c r="N25" s="449" t="s">
        <v>248</v>
      </c>
      <c r="O25" s="449"/>
      <c r="P25" s="450" t="s">
        <v>263</v>
      </c>
      <c r="Q25" s="450"/>
      <c r="R25" s="451" t="s">
        <v>264</v>
      </c>
      <c r="S25" s="451"/>
      <c r="T25" s="449" t="s">
        <v>265</v>
      </c>
      <c r="U25" s="449"/>
      <c r="V25" s="452">
        <v>5.0000000000000001E-4</v>
      </c>
      <c r="W25" s="452"/>
      <c r="X25" s="449" t="s">
        <v>252</v>
      </c>
      <c r="Y25" s="449"/>
      <c r="Z25" s="274" t="s">
        <v>253</v>
      </c>
      <c r="AA25" s="271" t="s">
        <v>254</v>
      </c>
      <c r="AB25" s="468" t="s">
        <v>266</v>
      </c>
      <c r="AC25" s="469"/>
    </row>
    <row r="26" spans="1:29" ht="18.75" customHeight="1" thickBot="1">
      <c r="A26" s="543"/>
      <c r="B26" s="544"/>
      <c r="C26" s="544"/>
      <c r="D26" s="544"/>
      <c r="E26" s="544"/>
      <c r="F26" s="544"/>
      <c r="G26" s="544"/>
      <c r="H26" s="544"/>
      <c r="I26" s="544"/>
      <c r="J26" s="544"/>
      <c r="K26" s="544"/>
      <c r="L26" s="545"/>
      <c r="N26" s="476" t="s">
        <v>267</v>
      </c>
      <c r="O26" s="476"/>
      <c r="P26" s="476"/>
      <c r="Q26" s="476"/>
      <c r="R26" s="472" t="s">
        <v>268</v>
      </c>
      <c r="S26" s="472"/>
      <c r="T26" s="473" t="s">
        <v>269</v>
      </c>
      <c r="U26" s="472"/>
      <c r="V26" s="472"/>
      <c r="W26" s="472"/>
      <c r="X26" s="472" t="s">
        <v>270</v>
      </c>
      <c r="Y26" s="472"/>
      <c r="Z26" s="474" t="s">
        <v>271</v>
      </c>
      <c r="AA26" s="475"/>
      <c r="AB26" s="475"/>
      <c r="AC26" s="475"/>
    </row>
    <row r="36" spans="15:27" ht="15" thickBot="1"/>
    <row r="37" spans="15:27" ht="14.25" customHeight="1" thickBot="1">
      <c r="R37" s="336" t="s">
        <v>327</v>
      </c>
      <c r="S37" s="337" t="s">
        <v>328</v>
      </c>
      <c r="T37" s="338" t="s">
        <v>301</v>
      </c>
      <c r="U37" s="339" t="s">
        <v>329</v>
      </c>
    </row>
    <row r="38" spans="15:27">
      <c r="R38" s="333">
        <v>45732</v>
      </c>
      <c r="S38" s="334" t="s">
        <v>302</v>
      </c>
      <c r="T38" s="334">
        <v>5137815</v>
      </c>
      <c r="U38" s="335">
        <v>10000</v>
      </c>
    </row>
    <row r="39" spans="15:27">
      <c r="R39" s="329">
        <v>45762</v>
      </c>
      <c r="S39" s="328" t="s">
        <v>302</v>
      </c>
      <c r="T39" s="328">
        <v>5137815</v>
      </c>
      <c r="U39" s="331">
        <v>30000</v>
      </c>
    </row>
    <row r="40" spans="15:27" ht="15" thickBot="1">
      <c r="R40" s="326">
        <v>45791</v>
      </c>
      <c r="S40" s="327" t="s">
        <v>302</v>
      </c>
      <c r="T40" s="330">
        <v>5136544</v>
      </c>
      <c r="U40" s="332">
        <v>5000</v>
      </c>
    </row>
    <row r="42" spans="15:27" ht="15" thickBot="1"/>
    <row r="43" spans="15:27" ht="15" thickBot="1">
      <c r="O43" s="376"/>
      <c r="P43" s="377">
        <v>45732</v>
      </c>
      <c r="Q43" s="377">
        <v>45776</v>
      </c>
      <c r="R43" s="377">
        <v>45792</v>
      </c>
      <c r="S43" s="377">
        <v>45805</v>
      </c>
      <c r="T43" s="7"/>
      <c r="U43" s="377">
        <v>45977</v>
      </c>
      <c r="V43" s="378">
        <v>46014</v>
      </c>
      <c r="W43" s="381">
        <v>46042</v>
      </c>
      <c r="X43" s="391">
        <v>46066</v>
      </c>
      <c r="Y43" s="2">
        <v>46072</v>
      </c>
      <c r="AA43" s="384"/>
    </row>
    <row r="44" spans="15:27">
      <c r="O44" s="375" t="s">
        <v>340</v>
      </c>
      <c r="P44" s="373"/>
      <c r="Q44" s="373"/>
      <c r="R44" s="373"/>
      <c r="S44" s="373"/>
      <c r="T44" s="373"/>
      <c r="U44" s="373" t="s">
        <v>337</v>
      </c>
      <c r="V44" s="379"/>
      <c r="W44" s="382">
        <v>3287.05</v>
      </c>
      <c r="X44" s="374"/>
      <c r="AA44" s="385">
        <f>SUM(P44:X44)+16143</f>
        <v>19430.05</v>
      </c>
    </row>
    <row r="45" spans="15:27">
      <c r="O45" s="371" t="s">
        <v>335</v>
      </c>
      <c r="P45" s="127"/>
      <c r="Q45" s="127"/>
      <c r="R45" s="127">
        <v>4935</v>
      </c>
      <c r="S45" s="127"/>
      <c r="T45" s="127"/>
      <c r="U45" s="370">
        <v>10228</v>
      </c>
      <c r="V45" s="380"/>
      <c r="W45" s="383">
        <v>3726</v>
      </c>
      <c r="X45" s="45"/>
      <c r="AA45" s="385">
        <f>SUM(P45:X45)</f>
        <v>18889</v>
      </c>
    </row>
    <row r="46" spans="15:27">
      <c r="O46" s="371" t="s">
        <v>333</v>
      </c>
      <c r="P46" s="328">
        <v>7378</v>
      </c>
      <c r="Q46" s="127"/>
      <c r="R46" s="127"/>
      <c r="S46" s="127"/>
      <c r="T46" s="127"/>
      <c r="U46" s="370">
        <v>9915</v>
      </c>
      <c r="V46" s="309">
        <v>2438</v>
      </c>
      <c r="W46" s="383">
        <v>3479</v>
      </c>
      <c r="X46" s="45"/>
      <c r="Y46" s="564">
        <v>1411.2</v>
      </c>
      <c r="AA46" s="385">
        <f>SUM(P46:Y46)</f>
        <v>24621.200000000001</v>
      </c>
    </row>
    <row r="47" spans="15:27">
      <c r="O47" s="371" t="s">
        <v>341</v>
      </c>
      <c r="P47" s="328"/>
      <c r="Q47" s="127"/>
      <c r="R47" s="127"/>
      <c r="S47" s="127"/>
      <c r="T47" s="127"/>
      <c r="U47" s="370"/>
      <c r="V47" s="309"/>
      <c r="W47" s="383" t="s">
        <v>339</v>
      </c>
      <c r="X47" s="45"/>
      <c r="AA47" s="385">
        <v>19563.2</v>
      </c>
    </row>
    <row r="48" spans="15:27">
      <c r="O48" s="371" t="s">
        <v>251</v>
      </c>
      <c r="P48" s="127"/>
      <c r="Q48" s="127"/>
      <c r="R48" s="127"/>
      <c r="S48" s="127"/>
      <c r="T48" s="127"/>
      <c r="U48" s="127" t="s">
        <v>338</v>
      </c>
      <c r="V48" s="309"/>
      <c r="W48" s="383"/>
      <c r="X48" s="45"/>
      <c r="AA48" s="385">
        <v>4649</v>
      </c>
    </row>
    <row r="49" spans="15:27">
      <c r="O49" s="371" t="s">
        <v>334</v>
      </c>
      <c r="P49" s="127"/>
      <c r="Q49" s="127">
        <v>7803</v>
      </c>
      <c r="R49" s="127"/>
      <c r="S49" s="127"/>
      <c r="T49" s="127"/>
      <c r="U49" s="127">
        <v>20060</v>
      </c>
      <c r="V49" s="309">
        <v>2512</v>
      </c>
      <c r="W49" s="383">
        <v>2531.1</v>
      </c>
      <c r="X49" s="45"/>
      <c r="Y49" s="564">
        <v>1158.72</v>
      </c>
      <c r="AA49" s="385">
        <f>SUM(P49:Y49)</f>
        <v>34064.82</v>
      </c>
    </row>
    <row r="50" spans="15:27">
      <c r="O50" s="371" t="s">
        <v>336</v>
      </c>
      <c r="P50" s="127"/>
      <c r="Q50" s="127"/>
      <c r="R50" s="127"/>
      <c r="S50" s="127">
        <v>1390</v>
      </c>
      <c r="T50" s="127"/>
      <c r="U50" s="127">
        <v>1971</v>
      </c>
      <c r="V50" s="309"/>
      <c r="W50" s="383">
        <v>2000</v>
      </c>
      <c r="X50" s="45"/>
      <c r="AA50" s="385">
        <f>SUM(P50:X50)</f>
        <v>5361</v>
      </c>
    </row>
    <row r="51" spans="15:27">
      <c r="O51" s="387" t="s">
        <v>342</v>
      </c>
      <c r="P51" s="305"/>
      <c r="Q51" s="305"/>
      <c r="R51" s="305"/>
      <c r="S51" s="305"/>
      <c r="T51" s="305"/>
      <c r="U51" s="305"/>
      <c r="V51" s="311"/>
      <c r="W51" s="388"/>
      <c r="X51" s="389" t="s">
        <v>343</v>
      </c>
      <c r="AA51" s="390">
        <v>3530</v>
      </c>
    </row>
    <row r="52" spans="15:27">
      <c r="O52" s="387" t="s">
        <v>344</v>
      </c>
      <c r="P52" s="305"/>
      <c r="Q52" s="305"/>
      <c r="R52" s="305"/>
      <c r="S52" s="305"/>
      <c r="T52" s="305"/>
      <c r="U52" s="305"/>
      <c r="V52" s="311"/>
      <c r="W52" s="388"/>
      <c r="X52" s="389"/>
      <c r="Y52" t="s">
        <v>345</v>
      </c>
      <c r="AA52" s="390">
        <v>4005.3</v>
      </c>
    </row>
    <row r="53" spans="15:27" ht="15" thickBot="1">
      <c r="O53" s="372"/>
      <c r="P53" s="3"/>
      <c r="Q53" s="3"/>
      <c r="R53" s="3"/>
      <c r="S53" s="3"/>
      <c r="T53" s="3"/>
      <c r="U53" s="3"/>
      <c r="V53" s="307"/>
      <c r="W53" s="372"/>
      <c r="X53" s="50"/>
      <c r="AA53" s="386">
        <f>SUM(AA44:AA52)</f>
        <v>134113.56999999998</v>
      </c>
    </row>
  </sheetData>
  <mergeCells count="192">
    <mergeCell ref="A25:L26"/>
    <mergeCell ref="D21:E21"/>
    <mergeCell ref="F21:G21"/>
    <mergeCell ref="H21:I21"/>
    <mergeCell ref="J21:L21"/>
    <mergeCell ref="D22:E22"/>
    <mergeCell ref="F22:G22"/>
    <mergeCell ref="H22:I22"/>
    <mergeCell ref="J22:L22"/>
    <mergeCell ref="D19:E19"/>
    <mergeCell ref="F19:G19"/>
    <mergeCell ref="H19:I19"/>
    <mergeCell ref="J19:L19"/>
    <mergeCell ref="D20:E20"/>
    <mergeCell ref="F20:G20"/>
    <mergeCell ref="H20:I20"/>
    <mergeCell ref="J20:L20"/>
    <mergeCell ref="A23:L24"/>
    <mergeCell ref="D16:E16"/>
    <mergeCell ref="F16:G16"/>
    <mergeCell ref="H16:I16"/>
    <mergeCell ref="J16:L16"/>
    <mergeCell ref="D17:E17"/>
    <mergeCell ref="F17:G17"/>
    <mergeCell ref="H17:I17"/>
    <mergeCell ref="J17:L17"/>
    <mergeCell ref="D18:E18"/>
    <mergeCell ref="F18:G18"/>
    <mergeCell ref="H18:I18"/>
    <mergeCell ref="J18:L18"/>
    <mergeCell ref="D13:E13"/>
    <mergeCell ref="F13:G13"/>
    <mergeCell ref="H13:I13"/>
    <mergeCell ref="J13:L13"/>
    <mergeCell ref="D14:E14"/>
    <mergeCell ref="F14:G14"/>
    <mergeCell ref="H14:I14"/>
    <mergeCell ref="J14:L14"/>
    <mergeCell ref="D15:E15"/>
    <mergeCell ref="F15:G15"/>
    <mergeCell ref="H15:I15"/>
    <mergeCell ref="J15:L15"/>
    <mergeCell ref="D10:E10"/>
    <mergeCell ref="F10:G10"/>
    <mergeCell ref="H10:I10"/>
    <mergeCell ref="J10:L10"/>
    <mergeCell ref="D11:E11"/>
    <mergeCell ref="F11:G11"/>
    <mergeCell ref="H11:I11"/>
    <mergeCell ref="J11:L11"/>
    <mergeCell ref="D12:E12"/>
    <mergeCell ref="F12:G12"/>
    <mergeCell ref="H12:I12"/>
    <mergeCell ref="J12:L12"/>
    <mergeCell ref="N3:AC5"/>
    <mergeCell ref="N6:AC8"/>
    <mergeCell ref="N9:O9"/>
    <mergeCell ref="P9:Q9"/>
    <mergeCell ref="R9:S9"/>
    <mergeCell ref="T9:U9"/>
    <mergeCell ref="V9:W9"/>
    <mergeCell ref="A3:L6"/>
    <mergeCell ref="A7:A8"/>
    <mergeCell ref="B7:B8"/>
    <mergeCell ref="C7:C8"/>
    <mergeCell ref="D7:E8"/>
    <mergeCell ref="F7:G8"/>
    <mergeCell ref="H7:I8"/>
    <mergeCell ref="J7:L8"/>
    <mergeCell ref="D9:E9"/>
    <mergeCell ref="F9:G9"/>
    <mergeCell ref="H9:I9"/>
    <mergeCell ref="J9:L9"/>
    <mergeCell ref="X9:Y9"/>
    <mergeCell ref="AB9:AC9"/>
    <mergeCell ref="X16:Y16"/>
    <mergeCell ref="AB16:AC16"/>
    <mergeCell ref="X17:Y17"/>
    <mergeCell ref="AB17:AC17"/>
    <mergeCell ref="X14:Y14"/>
    <mergeCell ref="AB14:AC14"/>
    <mergeCell ref="X15:Y15"/>
    <mergeCell ref="AB15:AC15"/>
    <mergeCell ref="X13:Y13"/>
    <mergeCell ref="AB13:AC13"/>
    <mergeCell ref="X22:Y22"/>
    <mergeCell ref="AB22:AC22"/>
    <mergeCell ref="X23:Y23"/>
    <mergeCell ref="AB23:AC23"/>
    <mergeCell ref="X20:Y20"/>
    <mergeCell ref="AB20:AC20"/>
    <mergeCell ref="X21:Y21"/>
    <mergeCell ref="AB21:AC21"/>
    <mergeCell ref="X18:Y18"/>
    <mergeCell ref="AB18:AC18"/>
    <mergeCell ref="X19:Y19"/>
    <mergeCell ref="AB19:AC19"/>
    <mergeCell ref="R26:S26"/>
    <mergeCell ref="T26:W26"/>
    <mergeCell ref="X26:Y26"/>
    <mergeCell ref="Z26:AC26"/>
    <mergeCell ref="X24:Y24"/>
    <mergeCell ref="AB24:AC24"/>
    <mergeCell ref="X25:Y25"/>
    <mergeCell ref="AB25:AC25"/>
    <mergeCell ref="N25:O25"/>
    <mergeCell ref="P25:Q25"/>
    <mergeCell ref="R25:S25"/>
    <mergeCell ref="T25:U25"/>
    <mergeCell ref="V25:W25"/>
    <mergeCell ref="N24:O24"/>
    <mergeCell ref="P24:Q24"/>
    <mergeCell ref="R24:S24"/>
    <mergeCell ref="T24:U24"/>
    <mergeCell ref="V24:W24"/>
    <mergeCell ref="N26:Q26"/>
    <mergeCell ref="N10:O10"/>
    <mergeCell ref="P10:Q10"/>
    <mergeCell ref="R10:S10"/>
    <mergeCell ref="T10:U10"/>
    <mergeCell ref="V10:W10"/>
    <mergeCell ref="X10:Y10"/>
    <mergeCell ref="AB10:AC10"/>
    <mergeCell ref="N13:O13"/>
    <mergeCell ref="P13:Q13"/>
    <mergeCell ref="R13:S13"/>
    <mergeCell ref="T13:U13"/>
    <mergeCell ref="V13:W13"/>
    <mergeCell ref="X11:Y11"/>
    <mergeCell ref="AB11:AC11"/>
    <mergeCell ref="N12:O12"/>
    <mergeCell ref="P12:Q12"/>
    <mergeCell ref="R12:S12"/>
    <mergeCell ref="T12:U12"/>
    <mergeCell ref="V12:W12"/>
    <mergeCell ref="X12:Y12"/>
    <mergeCell ref="AB12:AC12"/>
    <mergeCell ref="N11:O11"/>
    <mergeCell ref="P11:Q11"/>
    <mergeCell ref="R11:S11"/>
    <mergeCell ref="T11:U11"/>
    <mergeCell ref="V11:W11"/>
    <mergeCell ref="N15:O15"/>
    <mergeCell ref="P15:Q15"/>
    <mergeCell ref="R15:S15"/>
    <mergeCell ref="T15:U15"/>
    <mergeCell ref="V15:W15"/>
    <mergeCell ref="N14:O14"/>
    <mergeCell ref="P14:Q14"/>
    <mergeCell ref="R14:S14"/>
    <mergeCell ref="T14:U14"/>
    <mergeCell ref="V14:W14"/>
    <mergeCell ref="N17:O17"/>
    <mergeCell ref="P17:Q17"/>
    <mergeCell ref="R17:S17"/>
    <mergeCell ref="T17:U17"/>
    <mergeCell ref="V17:W17"/>
    <mergeCell ref="N16:O16"/>
    <mergeCell ref="P16:Q16"/>
    <mergeCell ref="R16:S16"/>
    <mergeCell ref="T16:U16"/>
    <mergeCell ref="V16:W16"/>
    <mergeCell ref="N19:O19"/>
    <mergeCell ref="P19:Q19"/>
    <mergeCell ref="R19:S19"/>
    <mergeCell ref="T19:U19"/>
    <mergeCell ref="V19:W19"/>
    <mergeCell ref="N18:O18"/>
    <mergeCell ref="P18:Q18"/>
    <mergeCell ref="R18:S18"/>
    <mergeCell ref="T18:U18"/>
    <mergeCell ref="V18:W18"/>
    <mergeCell ref="R21:S21"/>
    <mergeCell ref="T21:U21"/>
    <mergeCell ref="V21:W21"/>
    <mergeCell ref="N20:O20"/>
    <mergeCell ref="P20:Q20"/>
    <mergeCell ref="R20:S20"/>
    <mergeCell ref="T20:U20"/>
    <mergeCell ref="V20:W20"/>
    <mergeCell ref="N23:O23"/>
    <mergeCell ref="P23:Q23"/>
    <mergeCell ref="R23:S23"/>
    <mergeCell ref="T23:U23"/>
    <mergeCell ref="V23:W23"/>
    <mergeCell ref="N22:O22"/>
    <mergeCell ref="P22:Q22"/>
    <mergeCell ref="R22:S22"/>
    <mergeCell ref="T22:U22"/>
    <mergeCell ref="V22:W22"/>
    <mergeCell ref="N21:O21"/>
    <mergeCell ref="P21:Q21"/>
  </mergeCells>
  <hyperlinks>
    <hyperlink ref="AB10" r:id="rId1" xr:uid="{1E7F3FB5-AEA3-459B-9BF7-40B4AE3AE261}"/>
    <hyperlink ref="AB11" r:id="rId2" xr:uid="{2F1AA51F-2C2A-4556-B6FA-ABDC56293DB5}"/>
    <hyperlink ref="AB14" r:id="rId3" location="Overview" xr:uid="{F91D70AB-026D-4207-B93B-F5128159C66C}"/>
    <hyperlink ref="AB18" r:id="rId4" xr:uid="{69D46488-5013-44C1-8677-9AE7A2E37476}"/>
    <hyperlink ref="AB19" r:id="rId5" xr:uid="{CB358A1B-0E7B-406E-A7B2-7724ED1C4A30}"/>
    <hyperlink ref="AB17" r:id="rId6" xr:uid="{C3B0AE47-7004-4D31-B117-273E7C6383E4}"/>
    <hyperlink ref="AB22" r:id="rId7" xr:uid="{EC2FAD19-102E-40B5-891C-1864DF1CA22E}"/>
    <hyperlink ref="AB23" r:id="rId8" xr:uid="{E91873B1-2A0D-4211-A6B0-227315599DE3}"/>
    <hyperlink ref="AB24" r:id="rId9" xr:uid="{426F86F7-99F0-44BC-9857-1C261AD731C5}"/>
    <hyperlink ref="AB25" r:id="rId10" xr:uid="{4213730A-218A-48E8-8B85-E7A041505FE6}"/>
    <hyperlink ref="T26" r:id="rId11" xr:uid="{1EABAA4A-3540-4F04-9F41-34B478EA2156}"/>
    <hyperlink ref="Z26" r:id="rId12" xr:uid="{0615C00B-FDCD-40A0-ACD1-6099BD533182}"/>
    <hyperlink ref="AB12" r:id="rId13" xr:uid="{7BEC1C74-528E-40A5-A9B3-BD2E17A20143}"/>
    <hyperlink ref="AB13" r:id="rId14" xr:uid="{04E21083-9D76-45B8-970A-4F648AAC70BF}"/>
    <hyperlink ref="AB15" r:id="rId15" xr:uid="{DD66D7DA-9EB4-4E5B-A1D6-DEEB68239B1B}"/>
    <hyperlink ref="AB16" r:id="rId16" location="Trading-%26-Security" xr:uid="{94660549-FBDA-4C3E-8FC8-A7919C4BEB3A}"/>
    <hyperlink ref="AB20" r:id="rId17" xr:uid="{41679D66-8B91-424B-9219-59D422192C38}"/>
    <hyperlink ref="AB21" r:id="rId18" xr:uid="{5D6DCFC8-6396-4160-B125-4A165F12543B}"/>
  </hyperlinks>
  <pageMargins left="0.7" right="0.7" top="0.75" bottom="0.75" header="0.3" footer="0.3"/>
  <drawing r:id="rId1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22BB6-2CD7-4FAD-8A8D-7B540A2752FD}">
  <dimension ref="A1:E29"/>
  <sheetViews>
    <sheetView rightToLeft="1" workbookViewId="0">
      <selection activeCell="E29" sqref="E29"/>
    </sheetView>
  </sheetViews>
  <sheetFormatPr defaultRowHeight="14.25"/>
  <cols>
    <col min="1" max="1" width="22" customWidth="1"/>
    <col min="2" max="2" width="20.125" customWidth="1"/>
    <col min="3" max="3" width="16.125" customWidth="1"/>
    <col min="4" max="4" width="15" customWidth="1"/>
    <col min="5" max="5" width="15.125" customWidth="1"/>
  </cols>
  <sheetData>
    <row r="1" spans="1:5">
      <c r="A1" s="548" t="s">
        <v>276</v>
      </c>
      <c r="B1" s="549"/>
      <c r="C1" s="549"/>
      <c r="D1" s="549"/>
      <c r="E1" s="549"/>
    </row>
    <row r="2" spans="1:5">
      <c r="A2" s="549"/>
      <c r="B2" s="549"/>
      <c r="C2" s="549"/>
      <c r="D2" s="549"/>
      <c r="E2" s="549"/>
    </row>
    <row r="3" spans="1:5">
      <c r="A3" s="549"/>
      <c r="B3" s="549"/>
      <c r="C3" s="549"/>
      <c r="D3" s="549"/>
      <c r="E3" s="549"/>
    </row>
    <row r="4" spans="1:5">
      <c r="A4" s="549"/>
      <c r="B4" s="549"/>
      <c r="C4" s="549"/>
      <c r="D4" s="549"/>
      <c r="E4" s="549"/>
    </row>
    <row r="5" spans="1:5">
      <c r="A5" s="549"/>
      <c r="B5" s="549"/>
      <c r="C5" s="549"/>
      <c r="D5" s="549"/>
      <c r="E5" s="549"/>
    </row>
    <row r="6" spans="1:5">
      <c r="A6" s="550" t="s">
        <v>277</v>
      </c>
      <c r="B6" s="550" t="s">
        <v>278</v>
      </c>
      <c r="C6" s="550" t="s">
        <v>10</v>
      </c>
      <c r="D6" s="550" t="s">
        <v>279</v>
      </c>
      <c r="E6" s="550" t="s">
        <v>280</v>
      </c>
    </row>
    <row r="7" spans="1:5">
      <c r="A7" s="551"/>
      <c r="B7" s="552"/>
      <c r="C7" s="553"/>
      <c r="D7" s="551"/>
      <c r="E7" s="553"/>
    </row>
    <row r="8" spans="1:5">
      <c r="A8" s="551"/>
      <c r="B8" s="552"/>
      <c r="C8" s="553"/>
      <c r="D8" s="551"/>
      <c r="E8" s="553"/>
    </row>
    <row r="9" spans="1:5" ht="28.5">
      <c r="A9" s="275" t="s">
        <v>281</v>
      </c>
      <c r="B9" s="127" t="s">
        <v>282</v>
      </c>
      <c r="C9" s="127" t="s">
        <v>283</v>
      </c>
      <c r="D9" s="127" t="s">
        <v>284</v>
      </c>
      <c r="E9" s="127" t="s">
        <v>285</v>
      </c>
    </row>
    <row r="10" spans="1:5" ht="15.75">
      <c r="A10" s="285">
        <v>0.71</v>
      </c>
      <c r="B10" s="286" t="s">
        <v>286</v>
      </c>
      <c r="C10" s="287">
        <v>435031</v>
      </c>
      <c r="D10" s="288">
        <f>C10*A10*0.7</f>
        <v>216210.40700000001</v>
      </c>
      <c r="E10" s="288">
        <f>C10-D10</f>
        <v>218820.59299999999</v>
      </c>
    </row>
    <row r="11" spans="1:5" ht="15.75">
      <c r="A11" s="285">
        <v>1</v>
      </c>
      <c r="B11" s="286" t="s">
        <v>287</v>
      </c>
      <c r="C11" s="287">
        <v>77318</v>
      </c>
      <c r="D11" s="288">
        <f>C11*A11</f>
        <v>77318</v>
      </c>
      <c r="E11" s="288">
        <f>C11-D11</f>
        <v>0</v>
      </c>
    </row>
    <row r="12" spans="1:5" ht="15.75">
      <c r="A12" s="285">
        <v>1</v>
      </c>
      <c r="B12" s="286" t="s">
        <v>288</v>
      </c>
      <c r="C12" s="287">
        <v>204519</v>
      </c>
      <c r="D12" s="288">
        <f>C12*A12</f>
        <v>204519</v>
      </c>
      <c r="E12" s="288">
        <f>C12-D12</f>
        <v>0</v>
      </c>
    </row>
    <row r="13" spans="1:5" ht="15.75">
      <c r="A13" s="289" t="s">
        <v>7</v>
      </c>
      <c r="B13" s="286" t="s">
        <v>189</v>
      </c>
      <c r="C13" s="287">
        <v>20000</v>
      </c>
      <c r="D13" s="288">
        <f>C13*0</f>
        <v>0</v>
      </c>
      <c r="E13" s="288">
        <f>C13</f>
        <v>20000</v>
      </c>
    </row>
    <row r="14" spans="1:5" ht="15.75">
      <c r="A14" s="289" t="s">
        <v>7</v>
      </c>
      <c r="B14" s="286" t="s">
        <v>289</v>
      </c>
      <c r="C14" s="287">
        <v>0</v>
      </c>
      <c r="D14" s="288">
        <f>C14*0</f>
        <v>0</v>
      </c>
      <c r="E14" s="288">
        <f>C14</f>
        <v>0</v>
      </c>
    </row>
    <row r="15" spans="1:5" ht="15.75">
      <c r="A15" s="289" t="s">
        <v>7</v>
      </c>
      <c r="B15" s="286" t="s">
        <v>290</v>
      </c>
      <c r="C15" s="287">
        <v>22757</v>
      </c>
      <c r="D15" s="288">
        <f>C15*0</f>
        <v>0</v>
      </c>
      <c r="E15" s="288">
        <f>טבלה3[[#This Row],[עמודה2]]</f>
        <v>22757</v>
      </c>
    </row>
    <row r="16" spans="1:5" ht="15.75">
      <c r="A16" s="289" t="s">
        <v>7</v>
      </c>
      <c r="B16" s="290" t="s">
        <v>291</v>
      </c>
      <c r="C16" s="287">
        <v>10000</v>
      </c>
      <c r="D16" s="291">
        <f>C17*B19-D10-D11-D12-D22</f>
        <v>-59361.157000000065</v>
      </c>
      <c r="E16" s="292">
        <f>טבלה3[[#This Row],[עמודה2]]-טבלה3[[#This Row],[החלק המנייתי של התיק]]</f>
        <v>69361.157000000065</v>
      </c>
    </row>
    <row r="17" spans="1:5">
      <c r="A17" s="554"/>
      <c r="B17" s="556" t="s">
        <v>191</v>
      </c>
      <c r="C17" s="558">
        <f>C10+C11+C12+C13+C14+C15+C16+B22</f>
        <v>769625</v>
      </c>
      <c r="D17" s="560"/>
      <c r="E17" s="561"/>
    </row>
    <row r="18" spans="1:5">
      <c r="A18" s="555"/>
      <c r="B18" s="557"/>
      <c r="C18" s="559"/>
      <c r="D18" s="562"/>
      <c r="E18" s="563"/>
    </row>
    <row r="19" spans="1:5" ht="30">
      <c r="A19" s="293" t="s">
        <v>292</v>
      </c>
      <c r="B19" s="294">
        <v>0.56999999999999995</v>
      </c>
      <c r="C19" s="546" t="s">
        <v>293</v>
      </c>
      <c r="D19" s="295" t="s">
        <v>294</v>
      </c>
      <c r="E19" s="295" t="s">
        <v>295</v>
      </c>
    </row>
    <row r="20" spans="1:5" ht="15">
      <c r="A20" s="296" t="s">
        <v>296</v>
      </c>
      <c r="B20" s="297">
        <f>(D12+D11+D10)/C17</f>
        <v>0.64712997498781877</v>
      </c>
      <c r="C20" s="547"/>
      <c r="D20" s="298">
        <f>D10+D11+D12+D13+D14+D15+D16+D22</f>
        <v>438686.24999999994</v>
      </c>
      <c r="E20" s="298">
        <f>E10+E11+E12+E13+E14+E16+E15+E22</f>
        <v>330938.75000000006</v>
      </c>
    </row>
    <row r="21" spans="1:5" ht="15">
      <c r="A21" s="296" t="s">
        <v>297</v>
      </c>
      <c r="B21" s="297">
        <f>(D10+D11++D12+C16)/C17</f>
        <v>0.66012331590060092</v>
      </c>
      <c r="C21" s="546" t="s">
        <v>298</v>
      </c>
      <c r="D21" s="295" t="s">
        <v>294</v>
      </c>
      <c r="E21" s="295" t="s">
        <v>295</v>
      </c>
    </row>
    <row r="22" spans="1:5" ht="30">
      <c r="A22" s="293" t="s">
        <v>299</v>
      </c>
      <c r="B22" s="299">
        <v>0</v>
      </c>
      <c r="C22" s="547"/>
      <c r="D22" s="301">
        <f>B22*B19</f>
        <v>0</v>
      </c>
      <c r="E22" s="301">
        <f>B22-D22</f>
        <v>0</v>
      </c>
    </row>
    <row r="29" spans="1:5">
      <c r="E29" s="300"/>
    </row>
  </sheetData>
  <protectedRanges>
    <protectedRange sqref="C19:E22" name="טווח6"/>
    <protectedRange sqref="A17:E18" name="טווח5"/>
    <protectedRange sqref="A17:A22" name="טווח4"/>
    <protectedRange sqref="A1:E8" name="טווח3"/>
    <protectedRange algorithmName="SHA-512" hashValue="U0Zikp78Ag0YJdX6LhBTQ6fDYhRfgNfPCNg2kvoGh6HEwZeMIDiWf4jxGKq9K380ua2G1nt0rKPIWwPniBRKUQ==" saltValue="TjUcpgwn2CqxYwmBxlA/Kw==" spinCount="100000" sqref="B10:B16" name="טווח1"/>
    <protectedRange sqref="D10:E16" name="טווח2"/>
  </protectedRanges>
  <mergeCells count="12">
    <mergeCell ref="C21:C22"/>
    <mergeCell ref="A1:E5"/>
    <mergeCell ref="A6:A8"/>
    <mergeCell ref="B6:B8"/>
    <mergeCell ref="C6:C8"/>
    <mergeCell ref="D6:D8"/>
    <mergeCell ref="E6:E8"/>
    <mergeCell ref="A17:A18"/>
    <mergeCell ref="B17:B18"/>
    <mergeCell ref="C17:C18"/>
    <mergeCell ref="D17:E18"/>
    <mergeCell ref="C19:C20"/>
  </mergeCells>
  <conditionalFormatting sqref="B19">
    <cfRule type="cellIs" dxfId="15" priority="3" operator="lessThan">
      <formula>$B$20</formula>
    </cfRule>
    <cfRule type="cellIs" dxfId="14" priority="4" operator="greaterThan">
      <formula>$B$21</formula>
    </cfRule>
    <cfRule type="cellIs" dxfId="13" priority="5" operator="greaterThan">
      <formula>$B$21</formula>
    </cfRule>
    <cfRule type="cellIs" dxfId="12" priority="12" operator="lessThan">
      <formula>$B$20</formula>
    </cfRule>
    <cfRule type="cellIs" dxfId="11" priority="13" operator="greaterThan">
      <formula>$B$21</formula>
    </cfRule>
    <cfRule type="cellIs" dxfId="10" priority="14" operator="lessThan">
      <formula>$B$20</formula>
    </cfRule>
    <cfRule type="cellIs" dxfId="9" priority="15" operator="greaterThan">
      <formula>$B$21</formula>
    </cfRule>
    <cfRule type="cellIs" dxfId="8" priority="16" operator="greaterThan">
      <formula>"$C$19"</formula>
    </cfRule>
  </conditionalFormatting>
  <conditionalFormatting sqref="D16">
    <cfRule type="cellIs" dxfId="7" priority="2" operator="lessThan">
      <formula>0</formula>
    </cfRule>
    <cfRule type="cellIs" dxfId="6" priority="7" operator="greaterThan">
      <formula>$C$16</formula>
    </cfRule>
    <cfRule type="cellIs" dxfId="5" priority="8" operator="lessThan">
      <formula>0</formula>
    </cfRule>
    <cfRule type="cellIs" dxfId="4" priority="9" operator="greaterThan">
      <formula>$C$16</formula>
    </cfRule>
  </conditionalFormatting>
  <conditionalFormatting sqref="E16">
    <cfRule type="cellIs" dxfId="3" priority="1" operator="greaterThan">
      <formula>$C$16</formula>
    </cfRule>
    <cfRule type="cellIs" dxfId="2" priority="6" operator="lessThan">
      <formula>0</formula>
    </cfRule>
    <cfRule type="cellIs" dxfId="1" priority="10" operator="lessThan">
      <formula>0</formula>
    </cfRule>
    <cfRule type="cellIs" dxfId="0" priority="11" operator="greaterThan">
      <formula>$C$16</formula>
    </cfRule>
  </conditionalFormatting>
  <dataValidations count="1">
    <dataValidation allowBlank="1" showInputMessage="1" showErrorMessage="1" errorTitle="אחוז חשיפה למניות שגוי" error="יש לבחור אחוז חשיפה למניות שהוא מתחת למקסימום ומעל למינימום האפשרי בשבילך" sqref="B19" xr:uid="{E857625A-6632-4BD4-BDB3-AA58BA32C937}"/>
  </dataValidation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פנסייה (ישן)</vt:lpstr>
      <vt:lpstr>ביטוח רפואי</vt:lpstr>
      <vt:lpstr>פנסייה יערה</vt:lpstr>
      <vt:lpstr>פנסייה</vt:lpstr>
      <vt:lpstr>הלוואות</vt:lpstr>
      <vt:lpstr>עו"ש</vt:lpstr>
      <vt:lpstr>הלוואה לרכישת בית </vt:lpstr>
      <vt:lpstr>מחשבון דמי ניהול</vt:lpstr>
      <vt:lpstr>סיכום מסלולי השקעה</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MYB</dc:creator>
  <cp:lastModifiedBy>MYB Belferman</cp:lastModifiedBy>
  <dcterms:created xsi:type="dcterms:W3CDTF">2021-05-29T14:12:13Z</dcterms:created>
  <dcterms:modified xsi:type="dcterms:W3CDTF">2026-02-21T15:18:56Z</dcterms:modified>
</cp:coreProperties>
</file>