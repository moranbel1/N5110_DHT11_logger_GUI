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דשבורד" sheetId="1" state="visible" r:id="rId1"/>
    <sheet name="גרף הוצאות" sheetId="2" state="visible" r:id="rId2"/>
    <sheet name="גרף הלוואה" sheetId="3" state="visible" r:id="rId3"/>
    <sheet name="גרף פנסיה" sheetId="4" state="visible" r:id="rId4"/>
    <sheet name="פנסייה (ישן)" sheetId="5" state="visible" r:id="rId5"/>
    <sheet name="ביטוח רפואי" sheetId="6" state="visible" r:id="rId6"/>
    <sheet name="פנסייה יערה" sheetId="7" state="visible" r:id="rId7"/>
    <sheet name="פנסייה" sheetId="8" state="visible" r:id="rId8"/>
    <sheet name="הלוואות" sheetId="9" state="visible" r:id="rId9"/>
    <sheet name="עו&quot;ש" sheetId="10" state="visible" r:id="rId10"/>
    <sheet name="הלוואה לרכישת בית " sheetId="11" state="visible" r:id="rId11"/>
    <sheet name="מחשבון דמי ניהול" sheetId="12" state="visible" r:id="rId12"/>
    <sheet name="סיכום מסלולי השקעה" sheetId="13" state="visible" r:id="rId13"/>
    <sheet name="Sheet2" sheetId="14" state="visible" r:id="rId14"/>
    <sheet name="💡 מדריך מיון" sheetId="15" state="visible" r:id="rId15"/>
  </sheets>
  <definedNames/>
  <calcPr calcId="124519" fullCalcOnLoad="1"/>
</workbook>
</file>

<file path=xl/styles.xml><?xml version="1.0" encoding="utf-8"?>
<styleSheet xmlns="http://schemas.openxmlformats.org/spreadsheetml/2006/main">
  <numFmts count="4">
    <numFmt numFmtId="164" formatCode="#,##0 ₪"/>
    <numFmt numFmtId="165" formatCode="0.0%"/>
    <numFmt numFmtId="166" formatCode="yyyy-mm-dd h:mm:ss"/>
    <numFmt numFmtId="167" formatCode="DD/MM/YYYY"/>
  </numFmts>
  <fonts count="20">
    <font>
      <name val="Calibri"/>
      <family val="2"/>
      <color theme="1"/>
      <sz val="11"/>
      <scheme val="minor"/>
    </font>
    <font>
      <name val="Calibri"/>
      <b val="1"/>
      <color rgb="00FFFFFF"/>
      <sz val="16"/>
    </font>
    <font>
      <name val="Calibri"/>
      <i val="1"/>
      <color rgb="001F4E79"/>
      <sz val="10"/>
    </font>
    <font>
      <name val="Calibri"/>
      <b val="1"/>
      <color rgb="00FFFFFF"/>
      <sz val="12"/>
    </font>
    <font>
      <name val="Calibri"/>
      <b val="1"/>
      <color rgb="00FFFFFF"/>
      <sz val="9"/>
    </font>
    <font>
      <name val="Calibri"/>
      <b val="1"/>
      <color rgb="002E75B6"/>
      <sz val="12"/>
    </font>
    <font>
      <name val="Calibri"/>
      <b val="1"/>
      <color rgb="0070AD47"/>
      <sz val="12"/>
    </font>
    <font>
      <name val="Calibri"/>
      <b val="1"/>
      <color rgb="00FF6347"/>
      <sz val="12"/>
    </font>
    <font>
      <name val="Calibri"/>
      <b val="1"/>
      <color rgb="00ED7D31"/>
      <sz val="12"/>
    </font>
    <font>
      <name val="Calibri"/>
      <b val="1"/>
      <color rgb="00000000"/>
      <sz val="9"/>
    </font>
    <font>
      <name val="Calibri"/>
      <b val="1"/>
      <color rgb="00FFD700"/>
      <sz val="12"/>
    </font>
    <font>
      <name val="Calibri"/>
      <b val="1"/>
      <color rgb="00FFFFFF"/>
      <sz val="11"/>
    </font>
    <font>
      <name val="Calibri"/>
      <color rgb="00000000"/>
      <sz val="10"/>
    </font>
    <font>
      <name val="Calibri"/>
      <b val="1"/>
      <color rgb="00000000"/>
      <sz val="10"/>
    </font>
    <font>
      <name val="Calibri"/>
      <b val="1"/>
      <color rgb="00000000"/>
      <sz val="11"/>
    </font>
    <font>
      <name val="Calibri"/>
      <color rgb="00000000"/>
      <sz val="11"/>
    </font>
    <font>
      <name val="Calibri"/>
      <b val="1"/>
      <color rgb="00FFFFFF"/>
      <sz val="10"/>
    </font>
    <font>
      <name val="Calibri"/>
      <color rgb="00000000"/>
      <sz val="9"/>
    </font>
    <font>
      <name val="Calibri"/>
      <b val="1"/>
      <color rgb="00FFFFFF"/>
      <sz val="14"/>
    </font>
    <font>
      <name val="Calibri"/>
      <b val="1"/>
      <color rgb="001F4E79"/>
      <sz val="11"/>
    </font>
  </fonts>
  <fills count="12">
    <fill>
      <patternFill/>
    </fill>
    <fill>
      <patternFill patternType="gray125"/>
    </fill>
    <fill>
      <patternFill patternType="solid">
        <fgColor rgb="001F4E79"/>
      </patternFill>
    </fill>
    <fill>
      <patternFill patternType="solid">
        <fgColor rgb="00DEEAF1"/>
      </patternFill>
    </fill>
    <fill>
      <patternFill patternType="solid">
        <fgColor rgb="002E75B6"/>
      </patternFill>
    </fill>
    <fill>
      <patternFill patternType="solid">
        <fgColor rgb="00F2F2F2"/>
      </patternFill>
    </fill>
    <fill>
      <patternFill patternType="solid">
        <fgColor rgb="0070AD47"/>
      </patternFill>
    </fill>
    <fill>
      <patternFill patternType="solid">
        <fgColor rgb="00FF6347"/>
      </patternFill>
    </fill>
    <fill>
      <patternFill patternType="solid">
        <fgColor rgb="00ED7D31"/>
      </patternFill>
    </fill>
    <fill>
      <patternFill patternType="solid">
        <fgColor rgb="00FFD700"/>
      </patternFill>
    </fill>
    <fill>
      <patternFill patternType="solid">
        <fgColor rgb="00FFFFFF"/>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BFBFBF"/>
      </left>
      <right style="medium">
        <color rgb="00BFBFBF"/>
      </right>
      <top style="medium">
        <color rgb="00BFBFBF"/>
      </top>
      <bottom style="medium">
        <color rgb="00BFBFBF"/>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2" borderId="0" applyAlignment="1" pivotButton="0" quotePrefix="0" xfId="0">
      <alignment horizontal="center"/>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10" fillId="5" borderId="1" applyAlignment="1" pivotButton="0" quotePrefix="0" xfId="0">
      <alignment horizontal="center" vertical="center"/>
    </xf>
    <xf numFmtId="0" fontId="3" fillId="4" borderId="0" applyAlignment="1" pivotButton="0" quotePrefix="0" xfId="0">
      <alignment horizontal="center"/>
    </xf>
    <xf numFmtId="0" fontId="11" fillId="4" borderId="1" applyAlignment="1" pivotButton="0" quotePrefix="0" xfId="0">
      <alignment horizontal="center" vertical="center" wrapText="1"/>
    </xf>
    <xf numFmtId="0" fontId="12" fillId="10" borderId="1" applyAlignment="1" pivotButton="0" quotePrefix="0" xfId="0">
      <alignment horizontal="right" vertical="center" wrapText="1"/>
    </xf>
    <xf numFmtId="164" fontId="12" fillId="10" borderId="1" applyAlignment="1" pivotButton="0" quotePrefix="0" xfId="0">
      <alignment horizontal="center" vertical="center" wrapText="1"/>
    </xf>
    <xf numFmtId="165" fontId="12" fillId="10"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3" borderId="1" applyAlignment="1" pivotButton="0" quotePrefix="0" xfId="0">
      <alignment horizontal="right" vertical="center" wrapText="1"/>
    </xf>
    <xf numFmtId="164" fontId="12" fillId="3" borderId="1" applyAlignment="1" pivotButton="0" quotePrefix="0" xfId="0">
      <alignment horizontal="center" vertical="center" wrapText="1"/>
    </xf>
    <xf numFmtId="165" fontId="12" fillId="3" borderId="1" applyAlignment="1" pivotButton="0" quotePrefix="0" xfId="0">
      <alignment horizontal="center" vertical="center" wrapText="1"/>
    </xf>
    <xf numFmtId="0" fontId="12" fillId="3" borderId="1" applyAlignment="1" pivotButton="0" quotePrefix="0" xfId="0">
      <alignment horizontal="center" vertical="center" wrapText="1"/>
    </xf>
    <xf numFmtId="0" fontId="11" fillId="2" borderId="1" applyAlignment="1" pivotButton="0" quotePrefix="0" xfId="0">
      <alignment horizontal="center" vertical="center" wrapText="1"/>
    </xf>
    <xf numFmtId="164" fontId="11" fillId="2" borderId="1" applyAlignment="1" pivotButton="0" quotePrefix="0" xfId="0">
      <alignment horizontal="center" vertical="center" wrapText="1"/>
    </xf>
    <xf numFmtId="9" fontId="11" fillId="2" borderId="1" applyAlignment="1" pivotButton="0" quotePrefix="0" xfId="0">
      <alignment horizontal="center" vertical="center" wrapText="1"/>
    </xf>
    <xf numFmtId="0" fontId="0" fillId="0" borderId="0" applyAlignment="1" pivotButton="0" quotePrefix="0" xfId="0">
      <alignment horizontal="center"/>
    </xf>
    <xf numFmtId="3" fontId="12" fillId="3" borderId="1" applyAlignment="1" pivotButton="0" quotePrefix="0" xfId="0">
      <alignment horizontal="center" vertical="center" wrapText="1"/>
    </xf>
    <xf numFmtId="3" fontId="12" fillId="10" borderId="1" applyAlignment="1" pivotButton="0" quotePrefix="0" xfId="0">
      <alignment horizontal="center" vertical="center" wrapText="1"/>
    </xf>
    <xf numFmtId="0" fontId="14" fillId="3" borderId="1" pivotButton="0" quotePrefix="0" xfId="0"/>
    <xf numFmtId="0" fontId="15" fillId="3" borderId="1" pivotButton="0" quotePrefix="0" xfId="0"/>
    <xf numFmtId="0" fontId="14" fillId="10" borderId="1" pivotButton="0" quotePrefix="0" xfId="0"/>
    <xf numFmtId="0" fontId="15" fillId="10" borderId="1" pivotButton="0" quotePrefix="0" xfId="0"/>
    <xf numFmtId="0" fontId="12" fillId="5" borderId="1" applyAlignment="1" pivotButton="0" quotePrefix="0" xfId="0">
      <alignment horizontal="center" vertical="center" wrapText="1"/>
    </xf>
    <xf numFmtId="3" fontId="12" fillId="5" borderId="1" applyAlignment="1" pivotButton="0" quotePrefix="0" xfId="0">
      <alignment horizontal="center" vertical="center" wrapText="1"/>
    </xf>
    <xf numFmtId="0" fontId="11" fillId="6" borderId="0" applyAlignment="1" pivotButton="0" quotePrefix="0" xfId="0">
      <alignment horizontal="center"/>
    </xf>
    <xf numFmtId="166" fontId="16" fillId="2" borderId="1" applyAlignment="1" pivotButton="0" quotePrefix="0" xfId="0">
      <alignment horizontal="center" vertical="center" wrapText="1"/>
    </xf>
    <xf numFmtId="0" fontId="17" fillId="3" borderId="1" applyAlignment="1" pivotButton="0" quotePrefix="0" xfId="0">
      <alignment vertical="center" wrapText="1"/>
    </xf>
    <xf numFmtId="167" fontId="17" fillId="3" borderId="1" applyAlignment="1" pivotButton="0" quotePrefix="0" xfId="0">
      <alignment horizontal="center" vertical="center"/>
    </xf>
    <xf numFmtId="0" fontId="17" fillId="10" borderId="1" applyAlignment="1" pivotButton="0" quotePrefix="0" xfId="0">
      <alignment vertical="center" wrapText="1"/>
    </xf>
    <xf numFmtId="3" fontId="17" fillId="3" borderId="1" applyAlignment="1" pivotButton="0" quotePrefix="0" xfId="0">
      <alignment horizontal="right" vertical="center"/>
    </xf>
    <xf numFmtId="0" fontId="17" fillId="3" borderId="1" applyAlignment="1" pivotButton="0" quotePrefix="0" xfId="0">
      <alignment horizontal="right" vertical="center"/>
    </xf>
    <xf numFmtId="0" fontId="17" fillId="10" borderId="1" applyAlignment="1" pivotButton="0" quotePrefix="0" xfId="0">
      <alignment horizontal="right" vertical="center"/>
    </xf>
    <xf numFmtId="3" fontId="17" fillId="10" borderId="1" applyAlignment="1" pivotButton="0" quotePrefix="0" xfId="0">
      <alignment horizontal="right" vertical="center"/>
    </xf>
    <xf numFmtId="167" fontId="17" fillId="10" borderId="1" applyAlignment="1" pivotButton="0" quotePrefix="0" xfId="0">
      <alignment horizontal="center" vertical="center"/>
    </xf>
    <xf numFmtId="0" fontId="16" fillId="2" borderId="1" applyAlignment="1" pivotButton="0" quotePrefix="0" xfId="0">
      <alignment horizontal="center" vertical="center" wrapText="1"/>
    </xf>
    <xf numFmtId="0" fontId="18" fillId="2" borderId="0" applyAlignment="1" pivotButton="0" quotePrefix="0" xfId="0">
      <alignment horizontal="center" vertical="center"/>
    </xf>
    <xf numFmtId="0" fontId="19"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style val="10"/>
  <chart>
    <title>
      <tx>
        <rich>
          <a:bodyPr/>
          <a:p>
            <a:pPr>
              <a:defRPr/>
            </a:pPr>
            <a:r>
              <a:t>הרכב תיק ההשקעות</a:t>
            </a:r>
          </a:p>
        </rich>
      </tx>
    </title>
    <plotArea>
      <pieChart>
        <varyColors val="1"/>
        <ser>
          <idx val="0"/>
          <order val="0"/>
          <tx>
            <strRef>
              <f>'📊 דשבורד'!K9</f>
            </strRef>
          </tx>
          <spPr>
            <a:ln>
              <a:prstDash val="solid"/>
            </a:ln>
          </spPr>
          <cat>
            <numRef>
              <f>'📊 דשבורד'!$J$10:$J$15</f>
            </numRef>
          </cat>
          <val>
            <numRef>
              <f>'📊 דשבורד'!$K$10:$K$15</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הוצאות חודשיות – מורן, יערה וסה"כ</a:t>
            </a:r>
          </a:p>
        </rich>
      </tx>
    </title>
    <plotArea>
      <lineChart>
        <grouping val="standard"/>
        <ser>
          <idx val="0"/>
          <order val="0"/>
          <tx>
            <strRef>
              <f>'גרף הוצאות'!B1</f>
            </strRef>
          </tx>
          <spPr>
            <a:ln w="20000">
              <a:solidFill>
                <a:srgbClr val="ED7D31"/>
              </a:solidFill>
              <a:prstDash val="solid"/>
            </a:ln>
          </spPr>
          <marker>
            <symbol val="none"/>
            <spPr>
              <a:ln>
                <a:prstDash val="solid"/>
              </a:ln>
            </spPr>
          </marker>
          <cat>
            <numRef>
              <f>'גרף הוצאות'!$A$2:$A$40</f>
            </numRef>
          </cat>
          <val>
            <numRef>
              <f>'גרף הוצאות'!$B$2:$B$40</f>
            </numRef>
          </val>
        </ser>
        <ser>
          <idx val="1"/>
          <order val="1"/>
          <tx>
            <strRef>
              <f>'גרף הוצאות'!C1</f>
            </strRef>
          </tx>
          <spPr>
            <a:ln w="20000">
              <a:solidFill>
                <a:srgbClr val="2E75B6"/>
              </a:solidFill>
              <a:prstDash val="solid"/>
            </a:ln>
          </spPr>
          <marker>
            <symbol val="none"/>
            <spPr>
              <a:ln>
                <a:prstDash val="solid"/>
              </a:ln>
            </spPr>
          </marker>
          <cat>
            <numRef>
              <f>'גרף הוצאות'!$A$2:$A$40</f>
            </numRef>
          </cat>
          <val>
            <numRef>
              <f>'גרף הוצאות'!$C$2:$C$40</f>
            </numRef>
          </val>
        </ser>
        <ser>
          <idx val="2"/>
          <order val="2"/>
          <tx>
            <strRef>
              <f>'גרף הוצאות'!D1</f>
            </strRef>
          </tx>
          <spPr>
            <a:ln w="20000">
              <a:solidFill>
                <a:srgbClr val="70AD47"/>
              </a:solidFill>
              <a:prstDash val="solid"/>
            </a:ln>
          </spPr>
          <marker>
            <symbol val="none"/>
            <spPr>
              <a:ln>
                <a:prstDash val="solid"/>
              </a:ln>
            </spPr>
          </marker>
          <cat>
            <numRef>
              <f>'גרף הוצאות'!$A$2:$A$40</f>
            </numRef>
          </cat>
          <val>
            <numRef>
              <f>'גרף הוצאות'!$D$2:$D$40</f>
            </numRef>
          </val>
        </ser>
        <smooth val="1"/>
        <axId val="10"/>
        <axId val="100"/>
      </lineChart>
      <catAx>
        <axId val="10"/>
        <scaling>
          <orientation val="minMax"/>
        </scaling>
        <axPos val="l"/>
        <title>
          <tx>
            <rich>
              <a:bodyPr/>
              <a:p>
                <a:pPr>
                  <a:defRPr/>
                </a:pPr>
                <a:r>
                  <a:t>חודש</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סה"כ הוצאות חודשי</a:t>
            </a:r>
          </a:p>
        </rich>
      </tx>
    </title>
    <plotArea>
      <barChart>
        <barDir val="col"/>
        <grouping val="clustered"/>
        <ser>
          <idx val="0"/>
          <order val="0"/>
          <tx>
            <strRef>
              <f>'גרף הוצאות'!D1</f>
            </strRef>
          </tx>
          <spPr>
            <a:solidFill>
              <a:srgbClr val="2E75B6"/>
            </a:solidFill>
            <a:ln>
              <a:prstDash val="solid"/>
            </a:ln>
          </spPr>
          <cat>
            <numRef>
              <f>'גרף הוצאות'!$A$2:$A$40</f>
            </numRef>
          </cat>
          <val>
            <numRef>
              <f>'גרף הוצאות'!$D$2:$D$40</f>
            </numRef>
          </val>
        </ser>
        <gapWidth val="150"/>
        <axId val="10"/>
        <axId val="100"/>
      </barChart>
      <catAx>
        <axId val="10"/>
        <scaling>
          <orientation val="minMax"/>
        </scaling>
        <axPos val="l"/>
        <title>
          <tx>
            <rich>
              <a:bodyPr/>
              <a:p>
                <a:pPr>
                  <a:defRPr/>
                </a:pPr>
                <a:r>
                  <a:t>חודש</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היסטוריית תשלומי הלוואה יערה</a:t>
            </a:r>
          </a:p>
        </rich>
      </tx>
    </title>
    <plotArea>
      <barChart>
        <barDir val="col"/>
        <grouping val="clustered"/>
        <ser>
          <idx val="0"/>
          <order val="0"/>
          <tx>
            <strRef>
              <f>'גרף הלוואה'!B1</f>
            </strRef>
          </tx>
          <spPr>
            <a:solidFill>
              <a:srgbClr val="2E75B6"/>
            </a:solidFill>
            <a:ln>
              <a:prstDash val="solid"/>
            </a:ln>
          </spPr>
          <cat>
            <numRef>
              <f>'גרף הלוואה'!$A$2:$A$61</f>
            </numRef>
          </cat>
          <val>
            <numRef>
              <f>'גרף הלוואה'!$B$2:$B$61</f>
            </numRef>
          </val>
        </ser>
        <gapWidth val="150"/>
        <axId val="10"/>
        <axId val="100"/>
      </barChart>
      <catAx>
        <axId val="10"/>
        <scaling>
          <orientation val="minMax"/>
        </scaling>
        <axPos val="l"/>
        <title>
          <tx>
            <rich>
              <a:bodyPr/>
              <a:p>
                <a:pPr>
                  <a:defRPr/>
                </a:pPr>
                <a:r>
                  <a:t>חודש</a:t>
                </a:r>
              </a:p>
            </rich>
          </tx>
        </title>
        <majorTickMark val="none"/>
        <minorTickMark val="none"/>
        <crossAx val="100"/>
        <lblOffset val="100"/>
      </catAx>
      <valAx>
        <axId val="100"/>
        <scaling>
          <orientation val="minMax"/>
        </scaling>
        <axPos val="l"/>
        <majorGridlines/>
        <title>
          <tx>
            <rich>
              <a:bodyPr/>
              <a:p>
                <a:pPr>
                  <a:defRPr/>
                </a:pPr>
                <a:r>
                  <a:t>תשלום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צמיחת הפנסיה – מורן (כלל / הפניקס)</a:t>
            </a:r>
          </a:p>
        </rich>
      </tx>
    </title>
    <plotArea>
      <barChart>
        <barDir val="col"/>
        <grouping val="clustered"/>
        <ser>
          <idx val="0"/>
          <order val="0"/>
          <tx>
            <strRef>
              <f>'גרף פנסיה'!B1</f>
            </strRef>
          </tx>
          <spPr>
            <a:solidFill>
              <a:srgbClr val="2E75B6"/>
            </a:solidFill>
            <a:ln>
              <a:prstDash val="solid"/>
            </a:ln>
          </spPr>
          <cat>
            <numRef>
              <f>'גרף פנסיה'!$A$2:$A$7</f>
            </numRef>
          </cat>
          <val>
            <numRef>
              <f>'גרף פנסיה'!$B$2:$B$7</f>
            </numRef>
          </val>
        </ser>
        <gapWidth val="150"/>
        <axId val="10"/>
        <axId val="100"/>
      </barChart>
      <catAx>
        <axId val="10"/>
        <scaling>
          <orientation val="minMax"/>
        </scaling>
        <axPos val="l"/>
        <title>
          <tx>
            <rich>
              <a:bodyPr/>
              <a:p>
                <a:pPr>
                  <a:defRPr/>
                </a:pPr>
                <a:r>
                  <a:t>תאריך</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_rels/drawing4.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20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9360000" cy="504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29</row>
      <rowOff>0</rowOff>
    </from>
    <ext cx="9360000" cy="50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K17"/>
  <sheetViews>
    <sheetView rightToLeft="1" workbookViewId="0">
      <selection activeCell="A1" sqref="A1"/>
    </sheetView>
  </sheetViews>
  <sheetFormatPr baseColWidth="8" defaultRowHeight="15"/>
  <cols>
    <col width="22" customWidth="1" min="1" max="1"/>
    <col width="14" customWidth="1" min="2" max="2"/>
    <col width="8" customWidth="1" min="3" max="3"/>
    <col width="12" customWidth="1" min="4" max="4"/>
    <col width="14" customWidth="1" min="5" max="5"/>
    <col width="14" customWidth="1" min="6" max="6"/>
    <col width="14" customWidth="1" min="7" max="7"/>
    <col width="14" customWidth="1" min="8" max="8"/>
    <col width="0.1" customWidth="1" min="10" max="10"/>
    <col width="0.1" customWidth="1" min="11" max="11"/>
  </cols>
  <sheetData>
    <row r="1" ht="40" customHeight="1">
      <c r="A1" s="1" t="inlineStr">
        <is>
          <t>📋 סיכום פיננסי אישי – מורן ויערה</t>
        </is>
      </c>
    </row>
    <row r="2" ht="18" customHeight="1">
      <c r="A2" s="2" t="inlineStr">
        <is>
          <t>עודכן לאחרונה: ינואר 2025</t>
        </is>
      </c>
    </row>
    <row r="4" ht="22" customHeight="1">
      <c r="A4" s="3" t="inlineStr">
        <is>
          <t>מדדי מפתח</t>
        </is>
      </c>
    </row>
    <row r="5" ht="30" customHeight="1">
      <c r="A5" s="4" t="inlineStr">
        <is>
          <t>פנסיה מורן (כלל)</t>
        </is>
      </c>
      <c r="B5" s="4" t="inlineStr">
        <is>
          <t>פנסיה יערה (מנורה)</t>
        </is>
      </c>
      <c r="C5" s="5" t="inlineStr">
        <is>
          <t>קרן השתלמות מורן</t>
        </is>
      </c>
      <c r="D5" s="5" t="inlineStr">
        <is>
          <t>קרן השתלמות יערה</t>
        </is>
      </c>
      <c r="E5" s="6" t="inlineStr">
        <is>
          <t>הלוואה יערה (נותרו)</t>
        </is>
      </c>
      <c r="F5" s="7" t="inlineStr">
        <is>
          <t>הוצאות חודשיות ממוצע</t>
        </is>
      </c>
      <c r="G5" s="5" t="inlineStr">
        <is>
          <t>חיסכון חודשי (תחזית)</t>
        </is>
      </c>
      <c r="H5" s="8" t="inlineStr">
        <is>
          <t>סה"כ ביטוחים/חודש</t>
        </is>
      </c>
    </row>
    <row r="6" ht="28" customHeight="1">
      <c r="A6" s="9" t="inlineStr">
        <is>
          <t>₪588,339</t>
        </is>
      </c>
      <c r="B6" s="9" t="inlineStr">
        <is>
          <t>₪728,571</t>
        </is>
      </c>
      <c r="C6" s="10" t="inlineStr">
        <is>
          <t>₪220,168</t>
        </is>
      </c>
      <c r="D6" s="10" t="inlineStr">
        <is>
          <t>₪238,895</t>
        </is>
      </c>
      <c r="E6" s="11" t="inlineStr">
        <is>
          <t>₪~38,000</t>
        </is>
      </c>
      <c r="F6" s="12" t="inlineStr">
        <is>
          <t>₪15,437</t>
        </is>
      </c>
      <c r="G6" s="10" t="inlineStr">
        <is>
          <t>₪9,361</t>
        </is>
      </c>
      <c r="H6" s="13" t="inlineStr">
        <is>
          <t>₪888</t>
        </is>
      </c>
    </row>
    <row r="9" ht="22" customHeight="1">
      <c r="A9" s="14" t="inlineStr">
        <is>
          <t>הרכב תיק ההשקעות</t>
        </is>
      </c>
      <c r="J9" t="inlineStr">
        <is>
          <t>נכס</t>
        </is>
      </c>
      <c r="K9" t="inlineStr">
        <is>
          <t>שווי</t>
        </is>
      </c>
    </row>
    <row r="10" ht="22" customHeight="1">
      <c r="A10" s="15" t="inlineStr">
        <is>
          <t>נכס</t>
        </is>
      </c>
      <c r="B10" s="15" t="inlineStr">
        <is>
          <t>שווי (₪)</t>
        </is>
      </c>
      <c r="C10" s="15" t="inlineStr">
        <is>
          <t>אחוז</t>
        </is>
      </c>
      <c r="D10" s="15" t="inlineStr">
        <is>
          <t>ערבה</t>
        </is>
      </c>
      <c r="J10" t="inlineStr">
        <is>
          <t>פנסיה מורן</t>
        </is>
      </c>
      <c r="K10" t="n">
        <v>570000</v>
      </c>
    </row>
    <row r="11" ht="18" customHeight="1">
      <c r="A11" s="16" t="inlineStr">
        <is>
          <t>פנסיה מורן</t>
        </is>
      </c>
      <c r="B11" s="17" t="n">
        <v>570000</v>
      </c>
      <c r="C11" s="18" t="n">
        <v>0.5732099758648431</v>
      </c>
      <c r="D11" s="19" t="inlineStr">
        <is>
          <t>███████████</t>
        </is>
      </c>
      <c r="J11" t="inlineStr">
        <is>
          <t>קרן השתלמות מורן</t>
        </is>
      </c>
      <c r="K11" t="n">
        <v>220000</v>
      </c>
    </row>
    <row r="12" ht="18" customHeight="1">
      <c r="A12" s="20" t="inlineStr">
        <is>
          <t>קרן השתלמות מורן</t>
        </is>
      </c>
      <c r="B12" s="21" t="n">
        <v>220000</v>
      </c>
      <c r="C12" s="22" t="n">
        <v>0.2212389380530974</v>
      </c>
      <c r="D12" s="23" t="inlineStr">
        <is>
          <t>████</t>
        </is>
      </c>
      <c r="J12" t="inlineStr">
        <is>
          <t>קרן השתלמות לא פעיל</t>
        </is>
      </c>
      <c r="K12" t="n">
        <v>52400</v>
      </c>
    </row>
    <row r="13" ht="18" customHeight="1">
      <c r="A13" s="16" t="inlineStr">
        <is>
          <t>קרן השתלמות לא פעיל</t>
        </is>
      </c>
      <c r="B13" s="17" t="n">
        <v>52400</v>
      </c>
      <c r="C13" s="18" t="n">
        <v>0.05269509251810137</v>
      </c>
      <c r="D13" s="19" t="inlineStr">
        <is>
          <t>█</t>
        </is>
      </c>
      <c r="J13" t="inlineStr">
        <is>
          <t>תיק מסחר</t>
        </is>
      </c>
      <c r="K13" t="n">
        <v>24000</v>
      </c>
    </row>
    <row r="14" ht="18" customHeight="1">
      <c r="A14" s="20" t="inlineStr">
        <is>
          <t>תיק מסחר</t>
        </is>
      </c>
      <c r="B14" s="21" t="n">
        <v>24000</v>
      </c>
      <c r="C14" s="22" t="n">
        <v>0.02413515687851971</v>
      </c>
      <c r="D14" s="23" t="inlineStr"/>
      <c r="J14" t="inlineStr">
        <is>
          <t>קרן ביטחון</t>
        </is>
      </c>
      <c r="K14" t="n">
        <v>108000</v>
      </c>
    </row>
    <row r="15" ht="18" customHeight="1">
      <c r="A15" s="16" t="inlineStr">
        <is>
          <t>קרן ביטחון</t>
        </is>
      </c>
      <c r="B15" s="17" t="n">
        <v>108000</v>
      </c>
      <c r="C15" s="18" t="n">
        <v>0.1086082059533387</v>
      </c>
      <c r="D15" s="19" t="inlineStr">
        <is>
          <t>██</t>
        </is>
      </c>
      <c r="J15" t="inlineStr">
        <is>
          <t>עו"ש פנוי</t>
        </is>
      </c>
      <c r="K15" t="n">
        <v>20000</v>
      </c>
    </row>
    <row r="16" ht="18" customHeight="1">
      <c r="A16" s="20" t="inlineStr">
        <is>
          <t>עו"ש פנוי</t>
        </is>
      </c>
      <c r="B16" s="21" t="n">
        <v>20000</v>
      </c>
      <c r="C16" s="22" t="n">
        <v>0.02011263073209976</v>
      </c>
      <c r="D16" s="23" t="inlineStr"/>
    </row>
    <row r="17">
      <c r="A17" s="24" t="inlineStr">
        <is>
          <t>סה"כ</t>
        </is>
      </c>
      <c r="B17" s="25" t="n">
        <v>994400</v>
      </c>
      <c r="C17" s="26" t="n">
        <v>1</v>
      </c>
    </row>
  </sheetData>
  <mergeCells count="4">
    <mergeCell ref="A4:H4"/>
    <mergeCell ref="A9:D9"/>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40"/>
  <sheetViews>
    <sheetView rightToLeft="1" workbookViewId="0">
      <selection activeCell="A1" sqref="A1"/>
    </sheetView>
  </sheetViews>
  <sheetFormatPr baseColWidth="8" defaultRowHeight="15"/>
  <cols>
    <col width="10" customWidth="1" min="1" max="1"/>
    <col width="14" customWidth="1" min="2" max="2"/>
    <col width="14" customWidth="1" min="3" max="3"/>
    <col width="14" customWidth="1" min="4" max="4"/>
  </cols>
  <sheetData>
    <row r="1">
      <c r="A1" s="15" t="inlineStr">
        <is>
          <t>תאריך</t>
        </is>
      </c>
      <c r="B1" s="15" t="inlineStr">
        <is>
          <t>מורן (₪)</t>
        </is>
      </c>
      <c r="C1" s="15" t="inlineStr">
        <is>
          <t>יערה (₪)</t>
        </is>
      </c>
      <c r="D1" s="15" t="inlineStr">
        <is>
          <t>סה"כ (₪)</t>
        </is>
      </c>
    </row>
    <row r="2">
      <c r="A2" s="27" t="inlineStr">
        <is>
          <t>01/2023</t>
        </is>
      </c>
      <c r="B2" s="28" t="n">
        <v>4504</v>
      </c>
      <c r="C2" s="28" t="n">
        <v>11623</v>
      </c>
      <c r="D2" s="28" t="n">
        <v>16127</v>
      </c>
    </row>
    <row r="3">
      <c r="A3" s="27" t="inlineStr">
        <is>
          <t>02/2023</t>
        </is>
      </c>
      <c r="B3" s="29" t="n">
        <v>6166</v>
      </c>
      <c r="C3" s="29" t="n">
        <v>11955</v>
      </c>
      <c r="D3" s="29" t="n">
        <v>18121</v>
      </c>
    </row>
    <row r="4">
      <c r="A4" s="27" t="inlineStr">
        <is>
          <t>03/2023</t>
        </is>
      </c>
      <c r="B4" s="28" t="n">
        <v>1861</v>
      </c>
      <c r="C4" s="28" t="n">
        <v>13084</v>
      </c>
      <c r="D4" s="28" t="n">
        <v>14945</v>
      </c>
    </row>
    <row r="5">
      <c r="A5" s="27" t="inlineStr">
        <is>
          <t>04/2023</t>
        </is>
      </c>
      <c r="B5" s="29" t="n">
        <v>2411</v>
      </c>
      <c r="C5" s="29" t="n">
        <v>12763</v>
      </c>
      <c r="D5" s="29" t="n">
        <v>15174</v>
      </c>
    </row>
    <row r="6">
      <c r="A6" s="27" t="inlineStr">
        <is>
          <t>05/2023</t>
        </is>
      </c>
      <c r="B6" s="28" t="n">
        <v>1413</v>
      </c>
      <c r="C6" s="28" t="n">
        <v>8589</v>
      </c>
      <c r="D6" s="28" t="n">
        <v>10002</v>
      </c>
    </row>
    <row r="7">
      <c r="A7" s="27" t="inlineStr">
        <is>
          <t>06/2023</t>
        </is>
      </c>
      <c r="B7" s="29" t="n">
        <v>945</v>
      </c>
      <c r="C7" s="29" t="n">
        <v>8934</v>
      </c>
      <c r="D7" s="29" t="n">
        <v>9879</v>
      </c>
    </row>
    <row r="8">
      <c r="A8" s="27" t="inlineStr">
        <is>
          <t>07/2023</t>
        </is>
      </c>
      <c r="B8" s="28" t="n">
        <v>1478</v>
      </c>
      <c r="C8" s="28" t="n">
        <v>10009</v>
      </c>
      <c r="D8" s="28" t="n">
        <v>11487</v>
      </c>
    </row>
    <row r="9">
      <c r="A9" s="27" t="inlineStr">
        <is>
          <t>08/2023</t>
        </is>
      </c>
      <c r="B9" s="29" t="n">
        <v>472</v>
      </c>
      <c r="C9" s="29" t="n">
        <v>15606</v>
      </c>
      <c r="D9" s="29" t="n">
        <v>16078</v>
      </c>
    </row>
    <row r="10">
      <c r="A10" s="27" t="inlineStr">
        <is>
          <t>09/2023</t>
        </is>
      </c>
      <c r="B10" s="28" t="n">
        <v>2184</v>
      </c>
      <c r="C10" s="28" t="n">
        <v>13388</v>
      </c>
      <c r="D10" s="28" t="n">
        <v>15572</v>
      </c>
    </row>
    <row r="11">
      <c r="A11" s="27" t="inlineStr">
        <is>
          <t>10/2023</t>
        </is>
      </c>
      <c r="B11" s="29" t="n">
        <v>2329</v>
      </c>
      <c r="C11" s="29" t="n">
        <v>9938</v>
      </c>
      <c r="D11" s="29" t="n">
        <v>12267</v>
      </c>
    </row>
    <row r="12">
      <c r="A12" s="27" t="inlineStr">
        <is>
          <t>11/2023</t>
        </is>
      </c>
      <c r="B12" s="28" t="n">
        <v>4636</v>
      </c>
      <c r="C12" s="28" t="n">
        <v>8410</v>
      </c>
      <c r="D12" s="28" t="n">
        <v>13046</v>
      </c>
    </row>
    <row r="13">
      <c r="A13" s="27" t="inlineStr">
        <is>
          <t>12/2023</t>
        </is>
      </c>
      <c r="B13" s="29" t="n">
        <v>1139</v>
      </c>
      <c r="C13" s="29" t="n">
        <v>12561</v>
      </c>
      <c r="D13" s="29" t="n">
        <v>13700</v>
      </c>
    </row>
    <row r="14">
      <c r="A14" s="27" t="inlineStr">
        <is>
          <t>01/2024</t>
        </is>
      </c>
      <c r="B14" s="28" t="n">
        <v>1037</v>
      </c>
      <c r="C14" s="28" t="n">
        <v>9770</v>
      </c>
      <c r="D14" s="28" t="n">
        <v>10807</v>
      </c>
    </row>
    <row r="15">
      <c r="A15" s="27" t="inlineStr">
        <is>
          <t>02/2024</t>
        </is>
      </c>
      <c r="B15" s="29" t="n">
        <v>1071</v>
      </c>
      <c r="C15" s="29" t="n">
        <v>16710</v>
      </c>
      <c r="D15" s="29" t="n">
        <v>17781</v>
      </c>
    </row>
    <row r="16">
      <c r="A16" s="27" t="inlineStr">
        <is>
          <t>03/2024</t>
        </is>
      </c>
      <c r="B16" s="28" t="n">
        <v>1022</v>
      </c>
      <c r="C16" s="28" t="n">
        <v>13284</v>
      </c>
      <c r="D16" s="28" t="n">
        <v>14306</v>
      </c>
    </row>
    <row r="17">
      <c r="A17" s="27" t="inlineStr">
        <is>
          <t>04/2024</t>
        </is>
      </c>
      <c r="B17" s="29" t="n">
        <v>0</v>
      </c>
      <c r="C17" s="29" t="n">
        <v>10186.63</v>
      </c>
      <c r="D17" s="29" t="n">
        <v>10186.63</v>
      </c>
    </row>
    <row r="18">
      <c r="A18" s="27" t="inlineStr">
        <is>
          <t>05/2024</t>
        </is>
      </c>
      <c r="B18" s="28" t="n">
        <v>3859.45</v>
      </c>
      <c r="C18" s="28" t="n">
        <v>11391.39</v>
      </c>
      <c r="D18" s="28" t="n">
        <v>15250.84</v>
      </c>
    </row>
    <row r="19">
      <c r="A19" s="27" t="inlineStr">
        <is>
          <t>06/2024</t>
        </is>
      </c>
      <c r="B19" s="29" t="n">
        <v>3239</v>
      </c>
      <c r="C19" s="29" t="n">
        <v>12677</v>
      </c>
      <c r="D19" s="29" t="n">
        <v>15916</v>
      </c>
    </row>
    <row r="20">
      <c r="A20" s="27" t="inlineStr">
        <is>
          <t>07/2024</t>
        </is>
      </c>
      <c r="B20" s="28" t="n">
        <v>1455</v>
      </c>
      <c r="C20" s="28" t="n">
        <v>9665</v>
      </c>
      <c r="D20" s="28" t="n">
        <v>11120</v>
      </c>
    </row>
    <row r="21">
      <c r="A21" s="27" t="inlineStr">
        <is>
          <t>08/2024</t>
        </is>
      </c>
      <c r="B21" s="29" t="n">
        <v>5631</v>
      </c>
      <c r="C21" s="29" t="n">
        <v>18482</v>
      </c>
      <c r="D21" s="29" t="n">
        <v>24113</v>
      </c>
    </row>
    <row r="22">
      <c r="A22" s="27" t="inlineStr">
        <is>
          <t>09/2024</t>
        </is>
      </c>
      <c r="B22" s="28" t="n">
        <v>9362</v>
      </c>
      <c r="C22" s="28" t="n">
        <v>11239</v>
      </c>
      <c r="D22" s="28" t="n">
        <v>20601</v>
      </c>
    </row>
    <row r="23">
      <c r="A23" s="27" t="inlineStr">
        <is>
          <t>10/2024</t>
        </is>
      </c>
      <c r="B23" s="29" t="n">
        <v>4167</v>
      </c>
      <c r="C23" s="29" t="n">
        <v>5838</v>
      </c>
      <c r="D23" s="29" t="n">
        <v>10005</v>
      </c>
    </row>
    <row r="24">
      <c r="A24" s="27" t="inlineStr">
        <is>
          <t>11/2024</t>
        </is>
      </c>
      <c r="B24" s="28" t="n">
        <v>12517</v>
      </c>
      <c r="C24" s="28" t="n">
        <v>8790</v>
      </c>
      <c r="D24" s="28" t="n">
        <v>21307</v>
      </c>
    </row>
    <row r="25">
      <c r="A25" s="27" t="inlineStr">
        <is>
          <t>12/2024</t>
        </is>
      </c>
      <c r="B25" s="29" t="n">
        <v>10162</v>
      </c>
      <c r="C25" s="29" t="n">
        <v>6926</v>
      </c>
      <c r="D25" s="29" t="n">
        <v>17088</v>
      </c>
    </row>
    <row r="26">
      <c r="A26" s="27" t="inlineStr">
        <is>
          <t>01/2025</t>
        </is>
      </c>
      <c r="B26" s="28" t="n">
        <v>14243</v>
      </c>
      <c r="C26" s="28" t="n">
        <v>12445</v>
      </c>
      <c r="D26" s="28" t="n">
        <v>26688</v>
      </c>
    </row>
    <row r="27">
      <c r="A27" s="27" t="inlineStr">
        <is>
          <t>02/2025</t>
        </is>
      </c>
      <c r="B27" s="29" t="n">
        <v>14733</v>
      </c>
      <c r="C27" s="29" t="n">
        <v>6286</v>
      </c>
      <c r="D27" s="29" t="n">
        <v>21019</v>
      </c>
    </row>
    <row r="28">
      <c r="A28" s="27" t="inlineStr">
        <is>
          <t>03/2025</t>
        </is>
      </c>
      <c r="B28" s="28" t="n">
        <v>5185</v>
      </c>
      <c r="C28" s="28" t="n">
        <v>6646</v>
      </c>
      <c r="D28" s="28" t="n">
        <v>11831</v>
      </c>
    </row>
    <row r="29">
      <c r="A29" s="27" t="inlineStr">
        <is>
          <t>04/2025</t>
        </is>
      </c>
      <c r="B29" s="29" t="n">
        <v>3082</v>
      </c>
      <c r="C29" s="29" t="n">
        <v>6868</v>
      </c>
      <c r="D29" s="29" t="n">
        <v>9950</v>
      </c>
    </row>
    <row r="30">
      <c r="A30" s="27" t="inlineStr">
        <is>
          <t>05/2025</t>
        </is>
      </c>
      <c r="B30" s="28" t="n">
        <v>7162</v>
      </c>
      <c r="C30" s="28" t="n">
        <v>8676</v>
      </c>
      <c r="D30" s="28" t="n">
        <v>15838</v>
      </c>
    </row>
    <row r="31">
      <c r="A31" s="27" t="inlineStr">
        <is>
          <t>06/2025</t>
        </is>
      </c>
      <c r="B31" s="29" t="n">
        <v>5260</v>
      </c>
      <c r="C31" s="29" t="n">
        <v>13840</v>
      </c>
      <c r="D31" s="29" t="n">
        <v>19100</v>
      </c>
    </row>
    <row r="32">
      <c r="A32" s="27" t="inlineStr">
        <is>
          <t>07/2025</t>
        </is>
      </c>
      <c r="B32" s="28" t="n">
        <v>4007</v>
      </c>
      <c r="C32" s="28" t="n">
        <v>6978</v>
      </c>
      <c r="D32" s="28" t="n">
        <v>10985</v>
      </c>
    </row>
    <row r="33">
      <c r="A33" s="27" t="inlineStr">
        <is>
          <t>08/2025</t>
        </is>
      </c>
      <c r="B33" s="29" t="n">
        <v>3377</v>
      </c>
      <c r="C33" s="29" t="n">
        <v>12466</v>
      </c>
      <c r="D33" s="29" t="n">
        <v>15843</v>
      </c>
    </row>
    <row r="34">
      <c r="A34" s="27" t="inlineStr">
        <is>
          <t>09/2025</t>
        </is>
      </c>
      <c r="B34" s="28" t="n">
        <v>6064</v>
      </c>
      <c r="C34" s="28" t="n">
        <v>8029</v>
      </c>
      <c r="D34" s="28" t="n">
        <v>14093</v>
      </c>
    </row>
    <row r="35">
      <c r="A35" s="27" t="inlineStr">
        <is>
          <t>10/2025</t>
        </is>
      </c>
      <c r="B35" s="29" t="n">
        <v>4037</v>
      </c>
      <c r="C35" s="29" t="n">
        <v>10212</v>
      </c>
      <c r="D35" s="29" t="n">
        <v>14249</v>
      </c>
    </row>
    <row r="36">
      <c r="A36" s="27" t="inlineStr">
        <is>
          <t>11/2025</t>
        </is>
      </c>
      <c r="B36" s="28" t="n">
        <v>4173</v>
      </c>
      <c r="C36" s="28" t="n">
        <v>8301</v>
      </c>
      <c r="D36" s="28" t="n">
        <v>12474</v>
      </c>
    </row>
    <row r="37">
      <c r="A37" s="27" t="inlineStr">
        <is>
          <t>12/2025</t>
        </is>
      </c>
      <c r="B37" s="29" t="n">
        <v>3240</v>
      </c>
      <c r="C37" s="29" t="n">
        <v>14198</v>
      </c>
      <c r="D37" s="29" t="n">
        <v>17438</v>
      </c>
    </row>
    <row r="38">
      <c r="A38" s="27" t="inlineStr">
        <is>
          <t>01/2026</t>
        </is>
      </c>
      <c r="B38" s="28" t="n">
        <v>3615</v>
      </c>
      <c r="C38" s="28" t="n">
        <v>4873</v>
      </c>
      <c r="D38" s="28" t="n">
        <v>8488</v>
      </c>
    </row>
    <row r="39">
      <c r="A39" s="27" t="inlineStr">
        <is>
          <t>סה"כ</t>
        </is>
      </c>
      <c r="B39" s="29" t="n">
        <v>161238.45</v>
      </c>
      <c r="C39" s="29" t="n">
        <v>391637.02</v>
      </c>
      <c r="D39" s="29" t="n">
        <v>552875.47</v>
      </c>
    </row>
    <row r="40">
      <c r="A40" s="27" t="inlineStr">
        <is>
          <t>הוצאות אשראי</t>
        </is>
      </c>
      <c r="B40" s="28" t="n">
        <v>0</v>
      </c>
      <c r="C40" s="28" t="n">
        <v>14942.58027027027</v>
      </c>
      <c r="D40" s="28" t="n">
        <v>0</v>
      </c>
    </row>
  </sheetData>
  <conditionalFormatting sqref="D2:D40">
    <cfRule type="colorScale" priority="1">
      <colorScale>
        <cfvo type="min"/>
        <cfvo type="percentile" val="50"/>
        <cfvo type="max"/>
        <color rgb="0063B3FF"/>
        <color rgb="00FFFF00"/>
        <color rgb="00FF0000"/>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T61"/>
  <sheetViews>
    <sheetView rightToLeft="1" workbookViewId="0">
      <selection activeCell="A1" sqref="A1"/>
    </sheetView>
  </sheetViews>
  <sheetFormatPr baseColWidth="8" defaultRowHeight="15"/>
  <cols>
    <col width="12" customWidth="1" min="1" max="1"/>
    <col width="16" customWidth="1" min="2" max="2"/>
    <col width="10" customWidth="1" min="3" max="3"/>
  </cols>
  <sheetData>
    <row r="1">
      <c r="A1" s="15" t="inlineStr">
        <is>
          <t>חודש</t>
        </is>
      </c>
      <c r="B1" s="15" t="inlineStr">
        <is>
          <t>תשלום (₪)</t>
        </is>
      </c>
      <c r="C1" s="15" t="inlineStr">
        <is>
          <t>שולם?</t>
        </is>
      </c>
      <c r="S1" s="3" t="inlineStr">
        <is>
          <t>פרטי ההלוואה</t>
        </is>
      </c>
    </row>
    <row r="2">
      <c r="A2" s="23" t="inlineStr">
        <is>
          <t>11/2023</t>
        </is>
      </c>
      <c r="B2" s="28" t="n">
        <v>1372.38</v>
      </c>
      <c r="C2" s="23" t="inlineStr">
        <is>
          <t>✅</t>
        </is>
      </c>
      <c r="S2" s="30" t="inlineStr">
        <is>
          <t>סכום הלוואה</t>
        </is>
      </c>
      <c r="T2" s="31" t="inlineStr">
        <is>
          <t>₪66,252</t>
        </is>
      </c>
    </row>
    <row r="3">
      <c r="A3" s="23" t="inlineStr">
        <is>
          <t>12/2023</t>
        </is>
      </c>
      <c r="B3" s="28" t="n">
        <v>1277.15</v>
      </c>
      <c r="C3" s="23" t="inlineStr">
        <is>
          <t>✅</t>
        </is>
      </c>
      <c r="S3" s="32" t="inlineStr">
        <is>
          <t>ריבית</t>
        </is>
      </c>
      <c r="T3" s="33" t="inlineStr">
        <is>
          <t>P − 0.5%</t>
        </is>
      </c>
    </row>
    <row r="4">
      <c r="A4" s="23" t="inlineStr">
        <is>
          <t>01/2024</t>
        </is>
      </c>
      <c r="B4" s="28" t="n">
        <v>1280.46</v>
      </c>
      <c r="C4" s="23" t="inlineStr">
        <is>
          <t>✅</t>
        </is>
      </c>
      <c r="S4" s="30" t="inlineStr">
        <is>
          <t>החזר חודשי</t>
        </is>
      </c>
      <c r="T4" s="31" t="inlineStr">
        <is>
          <t>₪1,269</t>
        </is>
      </c>
    </row>
    <row r="5">
      <c r="A5" s="34" t="inlineStr">
        <is>
          <t>02/2024</t>
        </is>
      </c>
      <c r="B5" s="35" t="inlineStr"/>
      <c r="C5" s="34" t="inlineStr">
        <is>
          <t>⏳</t>
        </is>
      </c>
      <c r="S5" s="32" t="inlineStr">
        <is>
          <t>תאריך סיום</t>
        </is>
      </c>
      <c r="T5" s="33" t="inlineStr">
        <is>
          <t>אוקטובר 2028</t>
        </is>
      </c>
    </row>
    <row r="6">
      <c r="A6" s="34" t="inlineStr">
        <is>
          <t>03/2024</t>
        </is>
      </c>
      <c r="B6" s="35" t="inlineStr"/>
      <c r="C6" s="34" t="inlineStr">
        <is>
          <t>⏳</t>
        </is>
      </c>
    </row>
    <row r="7">
      <c r="A7" s="23" t="inlineStr">
        <is>
          <t>04/2024</t>
        </is>
      </c>
      <c r="B7" s="28" t="n">
        <v>1269</v>
      </c>
      <c r="C7" s="23" t="inlineStr">
        <is>
          <t>✅</t>
        </is>
      </c>
    </row>
    <row r="8">
      <c r="A8" s="23" t="inlineStr">
        <is>
          <t>05/2024</t>
        </is>
      </c>
      <c r="B8" s="28" t="n">
        <v>1269</v>
      </c>
      <c r="C8" s="23" t="inlineStr">
        <is>
          <t>✅</t>
        </is>
      </c>
    </row>
    <row r="9">
      <c r="A9" s="23" t="inlineStr">
        <is>
          <t>06/2024</t>
        </is>
      </c>
      <c r="B9" s="28" t="n">
        <v>1269</v>
      </c>
      <c r="C9" s="23" t="inlineStr">
        <is>
          <t>✅</t>
        </is>
      </c>
    </row>
    <row r="10">
      <c r="A10" s="23" t="inlineStr">
        <is>
          <t>07/2024</t>
        </is>
      </c>
      <c r="B10" s="28" t="n">
        <v>1269</v>
      </c>
      <c r="C10" s="23" t="inlineStr">
        <is>
          <t>✅</t>
        </is>
      </c>
    </row>
    <row r="11">
      <c r="A11" s="23" t="inlineStr">
        <is>
          <t>08/2024</t>
        </is>
      </c>
      <c r="B11" s="28" t="n">
        <v>1269</v>
      </c>
      <c r="C11" s="23" t="inlineStr">
        <is>
          <t>✅</t>
        </is>
      </c>
    </row>
    <row r="12">
      <c r="A12" s="23" t="inlineStr">
        <is>
          <t>09/2024</t>
        </is>
      </c>
      <c r="B12" s="28" t="n">
        <v>1269</v>
      </c>
      <c r="C12" s="23" t="inlineStr">
        <is>
          <t>✅</t>
        </is>
      </c>
    </row>
    <row r="13">
      <c r="A13" s="23" t="inlineStr">
        <is>
          <t>10/2024</t>
        </is>
      </c>
      <c r="B13" s="28" t="n">
        <v>1269</v>
      </c>
      <c r="C13" s="23" t="inlineStr">
        <is>
          <t>✅</t>
        </is>
      </c>
    </row>
    <row r="14">
      <c r="A14" s="23" t="inlineStr">
        <is>
          <t>11/2024</t>
        </is>
      </c>
      <c r="B14" s="28" t="n">
        <v>1269</v>
      </c>
      <c r="C14" s="23" t="inlineStr">
        <is>
          <t>✅</t>
        </is>
      </c>
    </row>
    <row r="15">
      <c r="A15" s="23" t="inlineStr">
        <is>
          <t>12/2024</t>
        </is>
      </c>
      <c r="B15" s="28" t="n">
        <v>1269</v>
      </c>
      <c r="C15" s="23" t="inlineStr">
        <is>
          <t>✅</t>
        </is>
      </c>
    </row>
    <row r="16">
      <c r="A16" s="23" t="inlineStr">
        <is>
          <t>01/2025</t>
        </is>
      </c>
      <c r="B16" s="28" t="n">
        <v>1269</v>
      </c>
      <c r="C16" s="23" t="inlineStr">
        <is>
          <t>✅</t>
        </is>
      </c>
    </row>
    <row r="17">
      <c r="A17" s="23" t="inlineStr">
        <is>
          <t>02/2025</t>
        </is>
      </c>
      <c r="B17" s="28" t="n">
        <v>1269</v>
      </c>
      <c r="C17" s="23" t="inlineStr">
        <is>
          <t>✅</t>
        </is>
      </c>
    </row>
    <row r="18">
      <c r="A18" s="23" t="inlineStr">
        <is>
          <t>03/2025</t>
        </is>
      </c>
      <c r="B18" s="28" t="n">
        <v>1269</v>
      </c>
      <c r="C18" s="23" t="inlineStr">
        <is>
          <t>✅</t>
        </is>
      </c>
    </row>
    <row r="19">
      <c r="A19" s="23" t="inlineStr">
        <is>
          <t>04/2025</t>
        </is>
      </c>
      <c r="B19" s="28" t="n">
        <v>1269</v>
      </c>
      <c r="C19" s="23" t="inlineStr">
        <is>
          <t>✅</t>
        </is>
      </c>
    </row>
    <row r="20">
      <c r="A20" s="23" t="inlineStr">
        <is>
          <t>05/2025</t>
        </is>
      </c>
      <c r="B20" s="28" t="n">
        <v>1269</v>
      </c>
      <c r="C20" s="23" t="inlineStr">
        <is>
          <t>✅</t>
        </is>
      </c>
    </row>
    <row r="21">
      <c r="A21" s="34" t="inlineStr">
        <is>
          <t>06/2025</t>
        </is>
      </c>
      <c r="B21" s="35" t="inlineStr"/>
      <c r="C21" s="34" t="inlineStr">
        <is>
          <t>⏳</t>
        </is>
      </c>
    </row>
    <row r="22">
      <c r="A22" s="34" t="inlineStr">
        <is>
          <t>07/2025</t>
        </is>
      </c>
      <c r="B22" s="35" t="inlineStr"/>
      <c r="C22" s="34" t="inlineStr">
        <is>
          <t>⏳</t>
        </is>
      </c>
    </row>
    <row r="23">
      <c r="A23" s="34" t="inlineStr">
        <is>
          <t>08/2025</t>
        </is>
      </c>
      <c r="B23" s="35" t="inlineStr"/>
      <c r="C23" s="34" t="inlineStr">
        <is>
          <t>⏳</t>
        </is>
      </c>
    </row>
    <row r="24">
      <c r="A24" s="34" t="inlineStr">
        <is>
          <t>09/2025</t>
        </is>
      </c>
      <c r="B24" s="35" t="inlineStr"/>
      <c r="C24" s="34" t="inlineStr">
        <is>
          <t>⏳</t>
        </is>
      </c>
    </row>
    <row r="25">
      <c r="A25" s="34" t="inlineStr">
        <is>
          <t>10/2025</t>
        </is>
      </c>
      <c r="B25" s="35" t="inlineStr"/>
      <c r="C25" s="34" t="inlineStr">
        <is>
          <t>⏳</t>
        </is>
      </c>
    </row>
    <row r="26">
      <c r="A26" s="34" t="inlineStr">
        <is>
          <t>11/2025</t>
        </is>
      </c>
      <c r="B26" s="35" t="inlineStr"/>
      <c r="C26" s="34" t="inlineStr">
        <is>
          <t>⏳</t>
        </is>
      </c>
    </row>
    <row r="27">
      <c r="A27" s="34" t="inlineStr">
        <is>
          <t>12/2025</t>
        </is>
      </c>
      <c r="B27" s="35" t="inlineStr"/>
      <c r="C27" s="34" t="inlineStr">
        <is>
          <t>⏳</t>
        </is>
      </c>
    </row>
    <row r="28">
      <c r="A28" s="34" t="inlineStr">
        <is>
          <t>01/2026</t>
        </is>
      </c>
      <c r="B28" s="35" t="inlineStr"/>
      <c r="C28" s="34" t="inlineStr">
        <is>
          <t>⏳</t>
        </is>
      </c>
    </row>
    <row r="29">
      <c r="A29" s="34" t="inlineStr">
        <is>
          <t>02/2026</t>
        </is>
      </c>
      <c r="B29" s="35" t="inlineStr"/>
      <c r="C29" s="34" t="inlineStr">
        <is>
          <t>⏳</t>
        </is>
      </c>
    </row>
    <row r="30">
      <c r="A30" s="34" t="inlineStr">
        <is>
          <t>03/2026</t>
        </is>
      </c>
      <c r="B30" s="35" t="inlineStr"/>
      <c r="C30" s="34" t="inlineStr">
        <is>
          <t>⏳</t>
        </is>
      </c>
    </row>
    <row r="31">
      <c r="A31" s="34" t="inlineStr">
        <is>
          <t>04/2026</t>
        </is>
      </c>
      <c r="B31" s="35" t="inlineStr"/>
      <c r="C31" s="34" t="inlineStr">
        <is>
          <t>⏳</t>
        </is>
      </c>
    </row>
    <row r="32">
      <c r="A32" s="34" t="inlineStr">
        <is>
          <t>05/2026</t>
        </is>
      </c>
      <c r="B32" s="35" t="inlineStr"/>
      <c r="C32" s="34" t="inlineStr">
        <is>
          <t>⏳</t>
        </is>
      </c>
    </row>
    <row r="33">
      <c r="A33" s="34" t="inlineStr">
        <is>
          <t>06/2026</t>
        </is>
      </c>
      <c r="B33" s="35" t="inlineStr"/>
      <c r="C33" s="34" t="inlineStr">
        <is>
          <t>⏳</t>
        </is>
      </c>
    </row>
    <row r="34">
      <c r="A34" s="34" t="inlineStr">
        <is>
          <t>07/2026</t>
        </is>
      </c>
      <c r="B34" s="35" t="inlineStr"/>
      <c r="C34" s="34" t="inlineStr">
        <is>
          <t>⏳</t>
        </is>
      </c>
    </row>
    <row r="35">
      <c r="A35" s="34" t="inlineStr">
        <is>
          <t>08/2026</t>
        </is>
      </c>
      <c r="B35" s="35" t="inlineStr"/>
      <c r="C35" s="34" t="inlineStr">
        <is>
          <t>⏳</t>
        </is>
      </c>
    </row>
    <row r="36">
      <c r="A36" s="34" t="inlineStr">
        <is>
          <t>09/2026</t>
        </is>
      </c>
      <c r="B36" s="35" t="inlineStr"/>
      <c r="C36" s="34" t="inlineStr">
        <is>
          <t>⏳</t>
        </is>
      </c>
    </row>
    <row r="37">
      <c r="A37" s="34" t="inlineStr">
        <is>
          <t>10/2026</t>
        </is>
      </c>
      <c r="B37" s="35" t="inlineStr"/>
      <c r="C37" s="34" t="inlineStr">
        <is>
          <t>⏳</t>
        </is>
      </c>
    </row>
    <row r="38">
      <c r="A38" s="34" t="inlineStr">
        <is>
          <t>11/2026</t>
        </is>
      </c>
      <c r="B38" s="35" t="inlineStr"/>
      <c r="C38" s="34" t="inlineStr">
        <is>
          <t>⏳</t>
        </is>
      </c>
    </row>
    <row r="39">
      <c r="A39" s="34" t="inlineStr">
        <is>
          <t>12/2026</t>
        </is>
      </c>
      <c r="B39" s="35" t="inlineStr"/>
      <c r="C39" s="34" t="inlineStr">
        <is>
          <t>⏳</t>
        </is>
      </c>
    </row>
    <row r="40">
      <c r="A40" s="34" t="inlineStr">
        <is>
          <t>01/2027</t>
        </is>
      </c>
      <c r="B40" s="35" t="inlineStr"/>
      <c r="C40" s="34" t="inlineStr">
        <is>
          <t>⏳</t>
        </is>
      </c>
    </row>
    <row r="41">
      <c r="A41" s="34" t="inlineStr">
        <is>
          <t>02/2027</t>
        </is>
      </c>
      <c r="B41" s="35" t="inlineStr"/>
      <c r="C41" s="34" t="inlineStr">
        <is>
          <t>⏳</t>
        </is>
      </c>
    </row>
    <row r="42">
      <c r="A42" s="34" t="inlineStr">
        <is>
          <t>03/2027</t>
        </is>
      </c>
      <c r="B42" s="35" t="inlineStr"/>
      <c r="C42" s="34" t="inlineStr">
        <is>
          <t>⏳</t>
        </is>
      </c>
    </row>
    <row r="43">
      <c r="A43" s="34" t="inlineStr">
        <is>
          <t>04/2027</t>
        </is>
      </c>
      <c r="B43" s="35" t="inlineStr"/>
      <c r="C43" s="34" t="inlineStr">
        <is>
          <t>⏳</t>
        </is>
      </c>
    </row>
    <row r="44">
      <c r="A44" s="34" t="inlineStr">
        <is>
          <t>05/2027</t>
        </is>
      </c>
      <c r="B44" s="35" t="inlineStr"/>
      <c r="C44" s="34" t="inlineStr">
        <is>
          <t>⏳</t>
        </is>
      </c>
    </row>
    <row r="45">
      <c r="A45" s="34" t="inlineStr">
        <is>
          <t>06/2027</t>
        </is>
      </c>
      <c r="B45" s="35" t="inlineStr"/>
      <c r="C45" s="34" t="inlineStr">
        <is>
          <t>⏳</t>
        </is>
      </c>
    </row>
    <row r="46">
      <c r="A46" s="34" t="inlineStr">
        <is>
          <t>07/2027</t>
        </is>
      </c>
      <c r="B46" s="35" t="inlineStr"/>
      <c r="C46" s="34" t="inlineStr">
        <is>
          <t>⏳</t>
        </is>
      </c>
    </row>
    <row r="47">
      <c r="A47" s="34" t="inlineStr">
        <is>
          <t>08/2027</t>
        </is>
      </c>
      <c r="B47" s="35" t="inlineStr"/>
      <c r="C47" s="34" t="inlineStr">
        <is>
          <t>⏳</t>
        </is>
      </c>
    </row>
    <row r="48">
      <c r="A48" s="34" t="inlineStr">
        <is>
          <t>09/2027</t>
        </is>
      </c>
      <c r="B48" s="35" t="inlineStr"/>
      <c r="C48" s="34" t="inlineStr">
        <is>
          <t>⏳</t>
        </is>
      </c>
    </row>
    <row r="49">
      <c r="A49" s="34" t="inlineStr">
        <is>
          <t>10/2027</t>
        </is>
      </c>
      <c r="B49" s="35" t="inlineStr"/>
      <c r="C49" s="34" t="inlineStr">
        <is>
          <t>⏳</t>
        </is>
      </c>
    </row>
    <row r="50">
      <c r="A50" s="34" t="inlineStr">
        <is>
          <t>11/2027</t>
        </is>
      </c>
      <c r="B50" s="35" t="inlineStr"/>
      <c r="C50" s="34" t="inlineStr">
        <is>
          <t>⏳</t>
        </is>
      </c>
    </row>
    <row r="51">
      <c r="A51" s="34" t="inlineStr">
        <is>
          <t>12/2027</t>
        </is>
      </c>
      <c r="B51" s="35" t="inlineStr"/>
      <c r="C51" s="34" t="inlineStr">
        <is>
          <t>⏳</t>
        </is>
      </c>
    </row>
    <row r="52">
      <c r="A52" s="34" t="inlineStr">
        <is>
          <t>01/2028</t>
        </is>
      </c>
      <c r="B52" s="35" t="inlineStr"/>
      <c r="C52" s="34" t="inlineStr">
        <is>
          <t>⏳</t>
        </is>
      </c>
    </row>
    <row r="53">
      <c r="A53" s="34" t="inlineStr">
        <is>
          <t>02/2028</t>
        </is>
      </c>
      <c r="B53" s="35" t="inlineStr"/>
      <c r="C53" s="34" t="inlineStr">
        <is>
          <t>⏳</t>
        </is>
      </c>
    </row>
    <row r="54">
      <c r="A54" s="34" t="inlineStr">
        <is>
          <t>03/2028</t>
        </is>
      </c>
      <c r="B54" s="35" t="inlineStr"/>
      <c r="C54" s="34" t="inlineStr">
        <is>
          <t>⏳</t>
        </is>
      </c>
    </row>
    <row r="55">
      <c r="A55" s="34" t="inlineStr">
        <is>
          <t>04/2028</t>
        </is>
      </c>
      <c r="B55" s="35" t="inlineStr"/>
      <c r="C55" s="34" t="inlineStr">
        <is>
          <t>⏳</t>
        </is>
      </c>
    </row>
    <row r="56">
      <c r="A56" s="34" t="inlineStr">
        <is>
          <t>05/2028</t>
        </is>
      </c>
      <c r="B56" s="35" t="inlineStr"/>
      <c r="C56" s="34" t="inlineStr">
        <is>
          <t>⏳</t>
        </is>
      </c>
    </row>
    <row r="57">
      <c r="A57" s="34" t="inlineStr">
        <is>
          <t>06/2028</t>
        </is>
      </c>
      <c r="B57" s="35" t="inlineStr"/>
      <c r="C57" s="34" t="inlineStr">
        <is>
          <t>⏳</t>
        </is>
      </c>
    </row>
    <row r="58">
      <c r="A58" s="34" t="inlineStr">
        <is>
          <t>07/2028</t>
        </is>
      </c>
      <c r="B58" s="35" t="inlineStr"/>
      <c r="C58" s="34" t="inlineStr">
        <is>
          <t>⏳</t>
        </is>
      </c>
    </row>
    <row r="59">
      <c r="A59" s="34" t="inlineStr">
        <is>
          <t>08/2028</t>
        </is>
      </c>
      <c r="B59" s="35" t="inlineStr"/>
      <c r="C59" s="34" t="inlineStr">
        <is>
          <t>⏳</t>
        </is>
      </c>
    </row>
    <row r="60">
      <c r="A60" s="34" t="inlineStr">
        <is>
          <t>09/2028</t>
        </is>
      </c>
      <c r="B60" s="35" t="inlineStr"/>
      <c r="C60" s="34" t="inlineStr">
        <is>
          <t>⏳</t>
        </is>
      </c>
    </row>
    <row r="61">
      <c r="A61" s="34" t="inlineStr">
        <is>
          <t>10/2028</t>
        </is>
      </c>
      <c r="B61" s="35" t="inlineStr"/>
      <c r="C61" s="34" t="inlineStr">
        <is>
          <t>⏳</t>
        </is>
      </c>
    </row>
  </sheetData>
  <mergeCells count="1">
    <mergeCell ref="S1:T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4"/>
  <sheetViews>
    <sheetView rightToLeft="1" workbookViewId="0">
      <selection activeCell="A1" sqref="A1"/>
    </sheetView>
  </sheetViews>
  <sheetFormatPr baseColWidth="8" defaultRowHeight="15"/>
  <cols>
    <col width="14" customWidth="1" min="1" max="1"/>
    <col width="20" customWidth="1" min="2" max="2"/>
  </cols>
  <sheetData>
    <row r="1">
      <c r="A1" s="15" t="inlineStr">
        <is>
          <t>תאריך</t>
        </is>
      </c>
      <c r="B1" s="15" t="inlineStr">
        <is>
          <t>פנסיה מורן (₪)</t>
        </is>
      </c>
    </row>
    <row r="2">
      <c r="A2" s="23" t="inlineStr">
        <is>
          <t>ינואר 22</t>
        </is>
      </c>
      <c r="B2" s="28" t="n">
        <v>305174</v>
      </c>
    </row>
    <row r="3">
      <c r="A3" s="19" t="inlineStr">
        <is>
          <t>מאי 22</t>
        </is>
      </c>
      <c r="B3" s="29" t="n">
        <v>316245</v>
      </c>
    </row>
    <row r="4">
      <c r="A4" s="23" t="inlineStr">
        <is>
          <t>ינואר 23</t>
        </is>
      </c>
      <c r="B4" s="28" t="n">
        <v>345916</v>
      </c>
    </row>
    <row r="5">
      <c r="A5" s="19" t="inlineStr">
        <is>
          <t>יולי 24</t>
        </is>
      </c>
      <c r="B5" s="29" t="n">
        <v>533665</v>
      </c>
    </row>
    <row r="6">
      <c r="A6" s="23" t="inlineStr">
        <is>
          <t>נובמבר 24</t>
        </is>
      </c>
      <c r="B6" s="28" t="n">
        <v>563121</v>
      </c>
    </row>
    <row r="7">
      <c r="A7" s="19" t="inlineStr">
        <is>
          <t>מאי 25</t>
        </is>
      </c>
      <c r="B7" s="29" t="n">
        <v>568209</v>
      </c>
    </row>
    <row r="10">
      <c r="A10" s="36" t="inlineStr">
        <is>
          <t>פנסיה יערה (מנורה)</t>
        </is>
      </c>
    </row>
    <row r="11">
      <c r="A11" s="16" t="inlineStr">
        <is>
          <t>פנסייה מקיפה</t>
        </is>
      </c>
      <c r="B11" s="17" t="n">
        <v>693564</v>
      </c>
    </row>
    <row r="12">
      <c r="A12" s="20" t="inlineStr">
        <is>
          <t>פנסייה משלימה</t>
        </is>
      </c>
      <c r="B12" s="21" t="n">
        <v>35007</v>
      </c>
    </row>
    <row r="13">
      <c r="A13" s="16" t="inlineStr">
        <is>
          <t>קרן השתלמות 1</t>
        </is>
      </c>
      <c r="B13" s="17" t="n">
        <v>94240</v>
      </c>
    </row>
    <row r="14">
      <c r="A14" s="20" t="inlineStr">
        <is>
          <t>קרן השתלמות 2</t>
        </is>
      </c>
      <c r="B14" s="21" t="n">
        <v>144656</v>
      </c>
    </row>
  </sheetData>
  <mergeCells count="1">
    <mergeCell ref="A10:B10"/>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Q45"/>
  <sheetViews>
    <sheetView rightToLeft="1" workbookViewId="0">
      <pane ySplit="1" topLeftCell="A2" activePane="bottomLeft" state="frozen"/>
      <selection pane="bottomLeft" activeCell="A1" sqref="A1"/>
    </sheetView>
  </sheetViews>
  <sheetFormatPr baseColWidth="8" defaultRowHeight="15"/>
  <cols>
    <col width="33" customWidth="1" min="1" max="1"/>
    <col width="77.875" customWidth="1" min="2" max="2"/>
    <col width="21.25" customWidth="1" min="3" max="3"/>
    <col width="9.875" customWidth="1" min="4" max="4"/>
    <col width="19.25" customWidth="1" min="5" max="5"/>
    <col width="27.125" customWidth="1" min="6" max="6"/>
    <col width="10.625" customWidth="1" min="7" max="7"/>
    <col width="32.25" customWidth="1" min="13" max="13"/>
  </cols>
  <sheetData>
    <row r="1" ht="15" customHeight="1"/>
    <row r="2" ht="15" customHeight="1">
      <c r="A2" s="37" t="n">
        <v>45669</v>
      </c>
      <c r="B2" s="38" t="n"/>
      <c r="C2" s="38" t="n"/>
      <c r="D2" s="38" t="n"/>
      <c r="E2" s="38" t="n"/>
      <c r="F2" s="38" t="n"/>
      <c r="G2" s="38" t="n"/>
      <c r="H2" s="38" t="n"/>
      <c r="I2" s="38" t="n"/>
      <c r="J2" s="38" t="n"/>
      <c r="K2" s="38" t="n"/>
      <c r="L2" s="38" t="n"/>
      <c r="M2" s="38" t="n"/>
      <c r="N2" s="38" t="n"/>
      <c r="O2" s="38" t="n"/>
      <c r="P2" s="38" t="n"/>
      <c r="Q2" s="38" t="n"/>
    </row>
    <row r="3" ht="15" customHeight="1"/>
    <row r="4" ht="15" customHeight="1">
      <c r="A4" s="38" t="n"/>
      <c r="B4" s="38" t="n"/>
      <c r="C4" s="38" t="n"/>
      <c r="D4" s="38" t="inlineStr">
        <is>
          <t>דמי ניהול</t>
        </is>
      </c>
      <c r="F4" s="38" t="n"/>
      <c r="G4" s="38" t="n"/>
      <c r="H4" s="38" t="n"/>
      <c r="I4" s="39" t="n">
        <v>44579</v>
      </c>
      <c r="J4" s="39" t="n">
        <v>44707</v>
      </c>
      <c r="K4" s="39" t="n">
        <v>44865</v>
      </c>
      <c r="L4" s="39" t="n">
        <v>44940</v>
      </c>
      <c r="M4" s="39" t="n">
        <v>45085</v>
      </c>
      <c r="N4" s="39" t="n">
        <v>45103</v>
      </c>
      <c r="O4" s="39" t="n">
        <v>45479</v>
      </c>
      <c r="P4" s="39" t="n">
        <v>45609</v>
      </c>
      <c r="Q4" s="38" t="n"/>
    </row>
    <row r="5" ht="15" customHeight="1">
      <c r="A5" s="40" t="n"/>
      <c r="B5" s="40" t="n"/>
      <c r="C5" s="40" t="inlineStr">
        <is>
          <t>תשלום/העברה</t>
        </is>
      </c>
      <c r="D5" s="40" t="inlineStr">
        <is>
          <t>מהפקדות</t>
        </is>
      </c>
      <c r="E5" s="40" t="inlineStr">
        <is>
          <t>מצבירה (שנתי)</t>
        </is>
      </c>
      <c r="F5" s="40" t="inlineStr">
        <is>
          <t>תגמולי עובד</t>
        </is>
      </c>
      <c r="G5" s="40" t="inlineStr">
        <is>
          <t>תגמולי מעביד</t>
        </is>
      </c>
      <c r="H5" s="40" t="inlineStr">
        <is>
          <t>הפקדה</t>
        </is>
      </c>
      <c r="I5" s="40" t="inlineStr">
        <is>
          <t>צבירה</t>
        </is>
      </c>
      <c r="J5" s="40" t="inlineStr">
        <is>
          <t>צבירה</t>
        </is>
      </c>
      <c r="K5" s="40" t="inlineStr">
        <is>
          <t>צבירה</t>
        </is>
      </c>
      <c r="L5" s="40" t="inlineStr">
        <is>
          <t>צבירה</t>
        </is>
      </c>
      <c r="M5" s="40" t="n"/>
      <c r="N5" s="40" t="n"/>
      <c r="O5" s="40" t="n"/>
      <c r="P5" s="40" t="n"/>
      <c r="Q5" s="40" t="n"/>
    </row>
    <row r="6" ht="15" customHeight="1">
      <c r="A6" s="38" t="inlineStr">
        <is>
          <t>פנסייה</t>
        </is>
      </c>
      <c r="B6" s="38" t="inlineStr">
        <is>
          <t>1.1  הפניקס פנסייה מקיפה מחקה מדד S&amp;P500 3197846011  70% 13335 (ישן)</t>
        </is>
      </c>
      <c r="C6" s="41" t="n">
        <v>4326</v>
      </c>
      <c r="D6" s="42" t="n">
        <v>1.5</v>
      </c>
      <c r="E6" s="42" t="n">
        <v>0.1</v>
      </c>
      <c r="F6" s="42" t="n">
        <v>0.06</v>
      </c>
      <c r="G6" s="42" t="n">
        <v>0.065</v>
      </c>
      <c r="H6" s="38" t="n"/>
      <c r="I6" s="41" t="n">
        <v>305174</v>
      </c>
      <c r="J6" s="41" t="n">
        <v>316245</v>
      </c>
      <c r="K6" s="38" t="n"/>
      <c r="L6" s="41" t="n">
        <v>345916</v>
      </c>
      <c r="M6" s="38" t="n"/>
      <c r="N6" s="38" t="n"/>
      <c r="O6" s="41" t="n">
        <v>533665</v>
      </c>
      <c r="P6" s="38" t="n"/>
      <c r="Q6" s="38" t="n"/>
    </row>
    <row r="7" ht="15.75" customHeight="1">
      <c r="B7" s="40" t="inlineStr">
        <is>
          <t xml:space="preserve"> 1.2.  פנסיה מקיפה  (חדש) S&amp;P500, כלל דמי ניהול יורדים ע"פ הצבירה 13347 12/2024</t>
        </is>
      </c>
      <c r="C7" s="40" t="n"/>
      <c r="D7" s="43" t="n">
        <v>1.75</v>
      </c>
      <c r="E7" s="43" t="n">
        <v>0.08400000000000001</v>
      </c>
      <c r="F7" s="40" t="n"/>
      <c r="G7" s="40" t="n"/>
      <c r="H7" s="44" t="n">
        <v>5140</v>
      </c>
      <c r="I7" s="40" t="n"/>
      <c r="J7" s="40" t="n"/>
      <c r="K7" s="40" t="n"/>
      <c r="L7" s="40" t="n"/>
      <c r="M7" s="40" t="n"/>
      <c r="N7" s="40" t="n"/>
      <c r="O7" s="40" t="n"/>
      <c r="P7" s="44" t="n">
        <v>563121</v>
      </c>
      <c r="Q7" s="40" t="n"/>
    </row>
    <row r="8" ht="15" customHeight="1">
      <c r="B8" s="38" t="inlineStr">
        <is>
          <t>2.1 הפניקס פנסייה משלימה 1833286089 (ישן)</t>
        </is>
      </c>
      <c r="C8" s="38" t="n">
        <v>0</v>
      </c>
      <c r="D8" s="42" t="n">
        <v>1.5</v>
      </c>
      <c r="E8" s="42" t="n">
        <v>0.1</v>
      </c>
      <c r="F8" s="42" t="n">
        <v>0.06</v>
      </c>
      <c r="G8" s="42" t="n">
        <v>0.065</v>
      </c>
      <c r="H8" s="38" t="n"/>
      <c r="I8" s="41" t="n">
        <v>3046</v>
      </c>
      <c r="J8" s="41" t="n">
        <v>3254</v>
      </c>
      <c r="K8" s="38" t="n"/>
      <c r="L8" s="41" t="n">
        <v>5273</v>
      </c>
      <c r="M8" s="38" t="n"/>
      <c r="N8" s="38" t="n"/>
      <c r="O8" s="41" t="n">
        <v>16475</v>
      </c>
      <c r="P8" s="38" t="n"/>
      <c r="Q8" s="38" t="n"/>
    </row>
    <row r="9" ht="15.75" customHeight="1">
      <c r="B9" s="40" t="inlineStr">
        <is>
          <t>2.2 כלל פנסיה משלימה עוקב מדדי מניות  (חדש) 15091</t>
        </is>
      </c>
      <c r="C9" s="40" t="n"/>
      <c r="D9" s="43" t="n">
        <v>1</v>
      </c>
      <c r="E9" s="43" t="n">
        <v>0.18</v>
      </c>
      <c r="F9" s="40" t="n"/>
      <c r="G9" s="40" t="n"/>
      <c r="H9" s="43" t="n">
        <v>698</v>
      </c>
      <c r="I9" s="40" t="n"/>
      <c r="J9" s="40" t="n"/>
      <c r="K9" s="40" t="n"/>
      <c r="L9" s="40" t="n"/>
      <c r="M9" s="40" t="n"/>
      <c r="N9" s="40" t="n"/>
      <c r="O9" s="40" t="n"/>
      <c r="P9" s="44" t="n">
        <v>18900</v>
      </c>
      <c r="Q9" s="40" t="n"/>
    </row>
    <row r="10" ht="15" customHeight="1"/>
    <row r="11" ht="15.75" customHeight="1">
      <c r="A11" s="40" t="inlineStr">
        <is>
          <t>קופת גמל (קרן השתלמות)</t>
        </is>
      </c>
      <c r="B11" s="40" t="inlineStr">
        <is>
          <t xml:space="preserve">הפניקס פוליסת סיכון טהור-מטרייה לקרן הפנסייה 1836345080 </t>
        </is>
      </c>
      <c r="C11" s="40" t="inlineStr">
        <is>
          <t>היה 63 עכשיו 95</t>
        </is>
      </c>
      <c r="D11" s="40" t="inlineStr">
        <is>
          <t>-</t>
        </is>
      </c>
      <c r="E11" s="40" t="inlineStr">
        <is>
          <t>-</t>
        </is>
      </c>
      <c r="F11" s="40" t="inlineStr">
        <is>
          <t>כיסוי של 21,227 ₪</t>
        </is>
      </c>
      <c r="G11" s="40" t="inlineStr">
        <is>
          <t>-</t>
        </is>
      </c>
      <c r="H11" s="40" t="n"/>
      <c r="I11" s="40" t="inlineStr">
        <is>
          <t>-</t>
        </is>
      </c>
      <c r="J11" s="40" t="inlineStr">
        <is>
          <t>-</t>
        </is>
      </c>
      <c r="K11" s="40" t="n"/>
      <c r="L11" s="40" t="inlineStr">
        <is>
          <t>-</t>
        </is>
      </c>
      <c r="M11" s="40" t="inlineStr">
        <is>
          <t>אובדן כושר עבודה 17210 ש"ח,4779 ₪ ביטוח חיים</t>
        </is>
      </c>
      <c r="N11" s="40" t="n"/>
      <c r="O11" s="40" t="n"/>
      <c r="P11" s="40" t="n"/>
      <c r="Q11" s="40" t="n"/>
    </row>
    <row r="12" ht="15" customHeight="1">
      <c r="B12" s="38" t="inlineStr">
        <is>
          <t>3.2. מור השתלמות-כללי 236635 יישן</t>
        </is>
      </c>
      <c r="C12" s="38" t="n"/>
      <c r="D12" s="38" t="n">
        <v>0</v>
      </c>
      <c r="E12" s="42" t="n">
        <v>0.85</v>
      </c>
      <c r="F12" s="42" t="n">
        <v>0.025</v>
      </c>
      <c r="G12" s="42" t="n">
        <v>0.075</v>
      </c>
      <c r="H12" s="38" t="n"/>
      <c r="I12" s="41" t="n">
        <v>25498</v>
      </c>
      <c r="J12" s="41" t="n">
        <v>35957</v>
      </c>
      <c r="K12" s="41" t="n">
        <v>48095</v>
      </c>
      <c r="L12" s="41" t="n">
        <v>52229</v>
      </c>
      <c r="M12" s="41" t="n">
        <v>62655</v>
      </c>
      <c r="N12" s="38" t="n"/>
      <c r="O12" s="38" t="n"/>
      <c r="P12" s="38" t="n"/>
      <c r="Q12" s="38" t="n"/>
    </row>
    <row r="13" ht="15" customHeight="1">
      <c r="B13" s="40" t="inlineStr">
        <is>
          <t>3.3. אנליסט השתלמות משולב סחיר 8779 שכיר חדש (5039-000-010314089), השתנה (13/11/24)  למשולב סחיר 8779(50%) + השתלמות כללי 962(50%)</t>
        </is>
      </c>
      <c r="C13" s="40" t="inlineStr">
        <is>
          <t>שכר של 28,025</t>
        </is>
      </c>
      <c r="D13" s="40" t="n"/>
      <c r="E13" s="43" t="n">
        <v>0.7</v>
      </c>
      <c r="F13" s="43" t="n">
        <v>0.025</v>
      </c>
      <c r="G13" s="43" t="n">
        <v>0.075</v>
      </c>
      <c r="H13" s="44" t="n">
        <v>2803</v>
      </c>
      <c r="I13" s="40" t="n"/>
      <c r="J13" s="40" t="n"/>
      <c r="K13" s="40" t="n"/>
      <c r="L13" s="40" t="n"/>
      <c r="M13" s="44" t="n">
        <v>62655</v>
      </c>
      <c r="N13" s="44" t="n">
        <v>69299</v>
      </c>
      <c r="O13" s="44" t="n">
        <v>108599</v>
      </c>
      <c r="P13" s="44" t="n">
        <v>124624</v>
      </c>
      <c r="Q13" s="40" t="n"/>
    </row>
    <row r="14" ht="15" customHeight="1">
      <c r="B14" s="38" t="inlineStr">
        <is>
          <t>אנליסט  10314082 (אוצר 560) לא פעיל, השתלמות משולב סחיר 8779 3.3</t>
        </is>
      </c>
      <c r="C14" s="38" t="n"/>
      <c r="D14" s="38" t="n"/>
      <c r="E14" s="38" t="inlineStr">
        <is>
          <t>נוכחי0.7/0.0583ישן</t>
        </is>
      </c>
      <c r="F14" s="38" t="n"/>
      <c r="G14" s="38" t="n"/>
      <c r="H14" s="38" t="n"/>
      <c r="I14" s="38" t="n"/>
      <c r="J14" s="38" t="n"/>
      <c r="K14" s="38" t="n"/>
      <c r="L14" s="38" t="n"/>
      <c r="M14" s="38" t="n"/>
      <c r="N14" s="38" t="n"/>
      <c r="O14" s="38" t="n"/>
      <c r="P14" s="41" t="n">
        <v>53605</v>
      </c>
      <c r="Q14" s="38" t="n"/>
    </row>
    <row r="15" ht="15" customHeight="1">
      <c r="B15" s="40" t="inlineStr">
        <is>
          <t>אלטשולר שחם גמל 236393 (קופה ישנה) אין הפקדות חדשות עבר לאנליסט 8779 (5039-000-010314082).3.1</t>
        </is>
      </c>
      <c r="C15" s="40" t="n"/>
      <c r="D15" s="40" t="n"/>
      <c r="E15" s="40" t="n"/>
      <c r="F15" s="40" t="n"/>
      <c r="G15" s="40" t="n"/>
      <c r="H15" s="40" t="n"/>
      <c r="I15" s="44" t="n">
        <v>45025</v>
      </c>
      <c r="J15" s="44" t="n">
        <v>44705</v>
      </c>
      <c r="K15" s="44" t="n">
        <v>43012</v>
      </c>
      <c r="L15" s="44" t="n">
        <v>42716</v>
      </c>
      <c r="M15" s="44" t="n">
        <v>43757</v>
      </c>
      <c r="N15" s="44" t="n">
        <v>44755</v>
      </c>
      <c r="O15" s="44" t="n">
        <v>50263</v>
      </c>
      <c r="P15" s="44" t="n">
        <v>53605</v>
      </c>
      <c r="Q15" s="40" t="n"/>
    </row>
    <row r="16" ht="15" customHeight="1"/>
    <row r="17" ht="15.75" customHeight="1">
      <c r="A17" s="40" t="inlineStr">
        <is>
          <t>אינטרנט</t>
        </is>
      </c>
      <c r="B17" s="40" t="inlineStr">
        <is>
          <t>Triple C</t>
        </is>
      </c>
      <c r="C17" s="43" t="n">
        <v>75</v>
      </c>
      <c r="D17" s="40" t="n"/>
      <c r="E17" s="45" t="n">
        <v>46076</v>
      </c>
      <c r="F17" s="40" t="inlineStr">
        <is>
          <t>פנייה מספר: 40725 (טל)</t>
        </is>
      </c>
      <c r="G17" s="40" t="n"/>
      <c r="H17" s="40" t="n"/>
      <c r="I17" s="40" t="n"/>
      <c r="J17" s="40" t="n"/>
      <c r="K17" s="40" t="n"/>
      <c r="L17" s="40" t="n"/>
      <c r="M17" s="40" t="n"/>
      <c r="N17" s="40" t="n"/>
      <c r="O17" s="40" t="n"/>
      <c r="P17" s="40" t="n"/>
      <c r="Q17" s="40" t="n"/>
    </row>
    <row r="18" ht="15" customHeight="1"/>
    <row r="19" ht="15" customHeight="1">
      <c r="A19" s="40" t="inlineStr">
        <is>
          <t>טלפון</t>
        </is>
      </c>
      <c r="B19" s="40" t="inlineStr">
        <is>
          <t>מורן-012</t>
        </is>
      </c>
      <c r="C19" s="43" t="n">
        <v>19.9</v>
      </c>
      <c r="D19" s="40" t="inlineStr">
        <is>
          <t>-</t>
        </is>
      </c>
      <c r="E19" s="45" t="n">
        <v>45550</v>
      </c>
      <c r="F19" s="40" t="n"/>
      <c r="G19" s="40" t="n"/>
      <c r="H19" s="40" t="n"/>
      <c r="I19" s="40" t="n"/>
      <c r="J19" s="40" t="n"/>
      <c r="K19" s="40" t="n"/>
      <c r="L19" s="40" t="n"/>
      <c r="M19" s="40" t="n"/>
      <c r="N19" s="40" t="n"/>
      <c r="O19" s="40" t="n"/>
      <c r="P19" s="40" t="n"/>
      <c r="Q19" s="40" t="n"/>
    </row>
    <row r="20" ht="15" customHeight="1">
      <c r="B20" s="38" t="inlineStr">
        <is>
          <t>תומר-019</t>
        </is>
      </c>
      <c r="C20" s="42" t="n">
        <v>21.9</v>
      </c>
      <c r="D20" s="38" t="n"/>
      <c r="E20" s="38" t="inlineStr">
        <is>
          <t>לכל החיים</t>
        </is>
      </c>
      <c r="F20" s="38" t="n"/>
      <c r="G20" s="38" t="n"/>
      <c r="H20" s="38" t="n"/>
      <c r="I20" s="38" t="n"/>
      <c r="J20" s="38" t="n"/>
      <c r="K20" s="38" t="n"/>
      <c r="L20" s="38" t="n"/>
      <c r="M20" s="38" t="n"/>
      <c r="N20" s="38" t="n"/>
      <c r="O20" s="38" t="n"/>
      <c r="P20" s="38" t="n"/>
      <c r="Q20" s="38" t="n"/>
    </row>
    <row r="21" ht="15" customHeight="1">
      <c r="B21" s="40" t="inlineStr">
        <is>
          <t>נטע-019</t>
        </is>
      </c>
      <c r="C21" s="43" t="n">
        <v>10</v>
      </c>
      <c r="D21" s="40" t="inlineStr">
        <is>
          <t>-</t>
        </is>
      </c>
      <c r="E21" s="40" t="inlineStr">
        <is>
          <t>לכל החיים</t>
        </is>
      </c>
      <c r="F21" s="40" t="n"/>
      <c r="G21" s="40" t="n"/>
      <c r="H21" s="40" t="n"/>
      <c r="I21" s="40" t="n"/>
      <c r="J21" s="40" t="n"/>
      <c r="K21" s="40" t="n"/>
      <c r="L21" s="40" t="n"/>
      <c r="M21" s="40" t="n"/>
      <c r="N21" s="40" t="n"/>
      <c r="O21" s="40" t="n"/>
      <c r="P21" s="40" t="n"/>
      <c r="Q21" s="40" t="n"/>
    </row>
    <row r="22" ht="15" customHeight="1">
      <c r="A22" s="38" t="n"/>
      <c r="B22" s="38" t="n"/>
      <c r="C22" s="38" t="n"/>
      <c r="D22" s="38" t="n"/>
      <c r="E22" s="38" t="inlineStr">
        <is>
          <t>מופיע בחיוב</t>
        </is>
      </c>
      <c r="F22" s="38" t="n"/>
      <c r="G22" s="38" t="n"/>
      <c r="H22" s="38" t="n"/>
      <c r="I22" s="38" t="n"/>
      <c r="J22" s="38" t="n"/>
      <c r="K22" s="38" t="n"/>
      <c r="L22" s="38" t="n"/>
      <c r="M22" s="38" t="n"/>
      <c r="N22" s="38" t="n"/>
      <c r="O22" s="38" t="n"/>
      <c r="P22" s="38" t="n"/>
      <c r="Q22" s="38" t="n"/>
    </row>
    <row r="23" ht="15" customHeight="1">
      <c r="A23" s="40" t="inlineStr">
        <is>
          <t>משכנתא</t>
        </is>
      </c>
      <c r="B23" s="40" t="inlineStr">
        <is>
          <t xml:space="preserve">ביטוח מבנה (כלל) מספר פוליסה: 433440218 </t>
        </is>
      </c>
      <c r="C23" s="43" t="n">
        <v>101.4166666666667</v>
      </c>
      <c r="D23" s="45" t="n">
        <v>45808</v>
      </c>
      <c r="E23" s="40" t="n"/>
      <c r="F23" s="40" t="n"/>
      <c r="G23" s="40" t="n"/>
      <c r="H23" s="40" t="n"/>
      <c r="I23" s="40" t="n"/>
      <c r="J23" s="40" t="n"/>
      <c r="K23" s="40" t="n"/>
      <c r="L23" s="40" t="n"/>
      <c r="M23" s="40" t="n"/>
      <c r="N23" s="40" t="n"/>
      <c r="O23" s="40" t="n"/>
      <c r="P23" s="40" t="n"/>
      <c r="Q23" s="40" t="n"/>
    </row>
    <row r="24" ht="15" customHeight="1">
      <c r="B24" s="38" t="inlineStr">
        <is>
          <t>חיים (איילון) מספר פוליסה: 14277405</t>
        </is>
      </c>
      <c r="C24" s="38" t="inlineStr">
        <is>
          <t>114/81.65</t>
        </is>
      </c>
      <c r="D24" s="39" t="n">
        <v>45797</v>
      </c>
      <c r="E24" s="38" t="inlineStr">
        <is>
          <t>איילון ביטוח חיים ובריאות</t>
        </is>
      </c>
      <c r="F24" s="38" t="inlineStr">
        <is>
          <t>אויפמן נטליה 054-5657074 (BMC)</t>
        </is>
      </c>
      <c r="G24" s="38" t="n"/>
      <c r="H24" s="41" t="n">
        <v>33000</v>
      </c>
      <c r="I24" s="38" t="n"/>
      <c r="J24" s="38" t="n"/>
      <c r="K24" s="38" t="n"/>
      <c r="L24" s="38" t="n"/>
      <c r="M24" s="38" t="n"/>
      <c r="N24" s="38" t="n"/>
      <c r="O24" s="38" t="n"/>
      <c r="P24" s="38" t="n"/>
      <c r="Q24" s="38" t="n"/>
    </row>
    <row r="25" ht="15" customHeight="1">
      <c r="A25" s="40" t="n"/>
      <c r="B25" s="40" t="n"/>
      <c r="C25" s="40" t="n"/>
      <c r="D25" s="40" t="n"/>
      <c r="E25" s="40" t="n"/>
      <c r="F25" s="40" t="n"/>
      <c r="G25" s="40" t="n"/>
      <c r="H25" s="43" t="n">
        <v>109</v>
      </c>
      <c r="I25" s="40" t="n"/>
      <c r="J25" s="40" t="n"/>
      <c r="K25" s="40" t="n"/>
      <c r="L25" s="40" t="n"/>
      <c r="M25" s="40" t="n"/>
      <c r="N25" s="40" t="n"/>
      <c r="O25" s="40" t="n"/>
      <c r="P25" s="40" t="n"/>
      <c r="Q25" s="40" t="n"/>
    </row>
    <row r="26" ht="15" customHeight="1">
      <c r="A26" s="38" t="inlineStr">
        <is>
          <t>רכב</t>
        </is>
      </c>
      <c r="B26" s="38" t="inlineStr">
        <is>
          <t>חובה (הראל)</t>
        </is>
      </c>
      <c r="C26" s="41" t="n">
        <v>1253</v>
      </c>
      <c r="D26" s="39" t="n">
        <v>45961</v>
      </c>
      <c r="E26" s="38" t="n"/>
      <c r="F26" s="38" t="n"/>
      <c r="G26" s="38" t="n"/>
      <c r="H26" s="38" t="n"/>
      <c r="I26" s="38" t="n"/>
      <c r="J26" s="38" t="n"/>
      <c r="K26" s="38" t="n"/>
      <c r="L26" s="38" t="n"/>
      <c r="M26" s="38" t="n"/>
      <c r="N26" s="38" t="n"/>
      <c r="O26" s="38" t="n"/>
      <c r="P26" s="38" t="n"/>
      <c r="Q26" s="38" t="n"/>
    </row>
    <row r="27" ht="15" customHeight="1">
      <c r="B27" s="40" t="inlineStr">
        <is>
          <t>מקיף (הראל)</t>
        </is>
      </c>
      <c r="C27" s="44" t="n">
        <v>1891</v>
      </c>
      <c r="D27" s="45" t="n">
        <v>45961</v>
      </c>
      <c r="E27" s="40" t="n"/>
      <c r="F27" s="40" t="n"/>
      <c r="G27" s="40" t="n"/>
      <c r="H27" s="40" t="n"/>
      <c r="I27" s="40" t="n"/>
      <c r="J27" s="40" t="n"/>
      <c r="K27" s="40" t="n"/>
      <c r="L27" s="40" t="n"/>
      <c r="M27" s="40" t="n"/>
      <c r="N27" s="40" t="n"/>
      <c r="O27" s="40" t="n"/>
      <c r="P27" s="40" t="n"/>
      <c r="Q27" s="40" t="n"/>
    </row>
    <row r="28" ht="15" customHeight="1"/>
    <row r="29" ht="15.75" customHeight="1">
      <c r="A29" s="40" t="inlineStr">
        <is>
          <t>קופת גמל להשקעה</t>
        </is>
      </c>
      <c r="B29" s="40" t="n"/>
      <c r="C29" s="40" t="n"/>
      <c r="D29" s="40" t="n"/>
      <c r="E29" s="40" t="n"/>
      <c r="F29" s="45" t="n">
        <v>45131</v>
      </c>
      <c r="G29" s="45" t="n">
        <v>45713</v>
      </c>
      <c r="H29" s="40" t="n"/>
      <c r="I29" s="40" t="n"/>
      <c r="J29" s="40" t="n"/>
      <c r="K29" s="40" t="n"/>
      <c r="L29" s="40" t="n"/>
      <c r="M29" s="40" t="n"/>
      <c r="N29" s="40" t="n"/>
      <c r="O29" s="40" t="n"/>
      <c r="P29" s="40" t="n"/>
      <c r="Q29" s="40" t="n"/>
    </row>
    <row r="30" ht="15.75" customHeight="1">
      <c r="A30" s="38" t="inlineStr">
        <is>
          <t>מורן</t>
        </is>
      </c>
      <c r="B30" s="38" t="inlineStr">
        <is>
          <t>הראל גמל להשקעה-P 500&amp;S עוקב מדד  (נפתח ב-09/10/2024 ולא פעיל)</t>
        </is>
      </c>
      <c r="C30" s="41" t="n">
        <v>168637381</v>
      </c>
      <c r="D30" s="38" t="n"/>
      <c r="E30" s="42" t="n">
        <v>0.82</v>
      </c>
      <c r="F30" s="38" t="n">
        <v>0</v>
      </c>
      <c r="G30" s="38" t="n"/>
      <c r="H30" s="38" t="n"/>
      <c r="I30" s="38" t="n"/>
      <c r="J30" s="38" t="n"/>
      <c r="K30" s="38" t="n"/>
      <c r="L30" s="38" t="n"/>
      <c r="M30" s="38" t="n"/>
      <c r="N30" s="38" t="n"/>
      <c r="O30" s="38" t="n"/>
      <c r="P30" s="38" t="n"/>
      <c r="Q30" s="38" t="n"/>
    </row>
    <row r="31" ht="15" customHeight="1">
      <c r="A31" s="40" t="inlineStr">
        <is>
          <t>תומר</t>
        </is>
      </c>
      <c r="B31" s="40" t="inlineStr">
        <is>
          <t>הפניקס גמל להשקעה מניות פאסיבי 7907</t>
        </is>
      </c>
      <c r="C31" s="40" t="n"/>
      <c r="D31" s="40" t="n"/>
      <c r="E31" s="43" t="n">
        <v>0.65</v>
      </c>
      <c r="F31" s="44" t="n">
        <v>23111.25</v>
      </c>
      <c r="G31" s="45" t="n">
        <v>31298</v>
      </c>
      <c r="H31" s="40" t="n"/>
      <c r="I31" s="40" t="n"/>
      <c r="J31" s="40" t="n"/>
      <c r="K31" s="40" t="n"/>
      <c r="L31" s="40" t="n"/>
      <c r="M31" s="40" t="n"/>
      <c r="N31" s="40" t="n"/>
      <c r="O31" s="40" t="n"/>
      <c r="P31" s="40" t="n"/>
      <c r="Q31" s="40" t="n"/>
    </row>
    <row r="32" ht="15" customHeight="1">
      <c r="A32" s="38" t="inlineStr">
        <is>
          <t>נטע</t>
        </is>
      </c>
      <c r="B32" s="38" t="inlineStr">
        <is>
          <t>הפניקס גמל להשקעה מניות פאסיבי 7907</t>
        </is>
      </c>
      <c r="C32" s="38" t="n"/>
      <c r="D32" s="38" t="n"/>
      <c r="E32" s="42" t="n">
        <v>0.65</v>
      </c>
      <c r="F32" s="41" t="n">
        <v>17671.04</v>
      </c>
      <c r="G32" s="41" t="n">
        <v>23931</v>
      </c>
      <c r="H32" s="38" t="n"/>
      <c r="I32" s="38" t="n"/>
      <c r="J32" s="38" t="n"/>
      <c r="K32" s="38" t="n"/>
      <c r="L32" s="38" t="n"/>
      <c r="M32" s="38" t="n"/>
      <c r="N32" s="38" t="n"/>
      <c r="O32" s="38" t="n"/>
      <c r="P32" s="38" t="n"/>
      <c r="Q32" s="38" t="n"/>
    </row>
    <row r="33" ht="15" customHeight="1"/>
    <row r="34" ht="15" customHeight="1">
      <c r="A34" s="38" t="inlineStr">
        <is>
          <t>חיסכון לכל ילד</t>
        </is>
      </c>
      <c r="B34" s="38" t="n"/>
      <c r="C34" s="38" t="n"/>
      <c r="D34" s="38" t="n"/>
      <c r="E34" s="38" t="n"/>
      <c r="F34" s="39" t="n">
        <v>45107</v>
      </c>
      <c r="G34" s="39" t="n">
        <v>45317</v>
      </c>
      <c r="H34" s="38" t="n"/>
      <c r="I34" s="38" t="n"/>
      <c r="J34" s="38" t="n"/>
      <c r="K34" s="38" t="n"/>
      <c r="L34" s="38" t="n"/>
      <c r="M34" s="38" t="n"/>
      <c r="N34" s="38" t="n"/>
      <c r="O34" s="38" t="n"/>
      <c r="P34" s="38" t="n"/>
      <c r="Q34" s="38" t="n"/>
    </row>
    <row r="35" ht="15" customHeight="1">
      <c r="A35" s="40" t="inlineStr">
        <is>
          <t>תומר</t>
        </is>
      </c>
      <c r="B35" s="40" t="inlineStr">
        <is>
          <t>איניפנטי חיסכון לילד חוסכים המעדיפים סיכון מוגבר 11373</t>
        </is>
      </c>
      <c r="C35" s="40" t="n"/>
      <c r="D35" s="40" t="n"/>
      <c r="E35" s="43" t="n">
        <v>0.23</v>
      </c>
      <c r="F35" s="44" t="n">
        <v>10768.42</v>
      </c>
      <c r="G35" s="44" t="n">
        <v>11900</v>
      </c>
      <c r="H35" s="40" t="n"/>
      <c r="I35" s="40" t="n"/>
      <c r="J35" s="40" t="n"/>
      <c r="K35" s="40" t="n"/>
      <c r="L35" s="40" t="n"/>
      <c r="M35" s="40" t="n"/>
      <c r="N35" s="40" t="n"/>
      <c r="O35" s="40" t="n"/>
      <c r="P35" s="40" t="n"/>
      <c r="Q35" s="40" t="n"/>
    </row>
    <row r="36" ht="15" customHeight="1">
      <c r="A36" s="38" t="inlineStr">
        <is>
          <t>נטע</t>
        </is>
      </c>
      <c r="B36" s="38" t="inlineStr">
        <is>
          <t>איניפנטי חיסכון לילד חוסכים המעדיפים סיכון מוגבר 11373</t>
        </is>
      </c>
      <c r="C36" s="38" t="n"/>
      <c r="D36" s="38" t="n"/>
      <c r="E36" s="42" t="n">
        <v>0.23</v>
      </c>
      <c r="F36" s="41" t="n">
        <v>9605.379999999999</v>
      </c>
      <c r="G36" s="41" t="n">
        <v>10744.8</v>
      </c>
      <c r="H36" s="38" t="n"/>
      <c r="I36" s="38" t="n"/>
      <c r="J36" s="38" t="n"/>
      <c r="K36" s="38" t="n"/>
      <c r="L36" s="38" t="n"/>
      <c r="M36" s="38" t="n"/>
      <c r="N36" s="38" t="n"/>
      <c r="O36" s="38" t="n"/>
      <c r="P36" s="38" t="n"/>
      <c r="Q36" s="38" t="n"/>
    </row>
    <row r="37" ht="15" customHeight="1"/>
    <row r="38" ht="15" customHeight="1"/>
    <row r="39" ht="15" customHeight="1">
      <c r="A39" s="40" t="n"/>
      <c r="B39" s="40" t="n"/>
      <c r="C39" s="40" t="inlineStr">
        <is>
          <t>סיכום חיובים חודשי (מאומת)</t>
        </is>
      </c>
      <c r="D39" s="40" t="n"/>
      <c r="E39" s="40" t="n"/>
      <c r="F39" s="40" t="n"/>
      <c r="G39" s="40" t="n"/>
      <c r="H39" s="40" t="n"/>
      <c r="I39" s="40" t="n"/>
      <c r="J39" s="40" t="n"/>
      <c r="K39" s="40" t="n"/>
      <c r="L39" s="40" t="n"/>
      <c r="M39" s="40" t="n"/>
      <c r="N39" s="40" t="n"/>
      <c r="O39" s="40" t="n"/>
      <c r="P39" s="40" t="n"/>
      <c r="Q39" s="40" t="n"/>
    </row>
    <row r="40" ht="15" customHeight="1">
      <c r="A40" s="38" t="n"/>
      <c r="B40" s="38" t="n"/>
      <c r="C40" s="38" t="inlineStr">
        <is>
          <t>הפניקס חיים ובריאות</t>
        </is>
      </c>
      <c r="D40" s="42" t="n">
        <v>95</v>
      </c>
      <c r="E40" s="38" t="n"/>
      <c r="F40" s="38" t="inlineStr">
        <is>
          <t>מטרייה ביטוחית</t>
        </is>
      </c>
      <c r="G40" s="38" t="n"/>
      <c r="H40" s="38" t="n"/>
      <c r="I40" s="38" t="n"/>
      <c r="J40" s="38" t="n"/>
      <c r="K40" s="38" t="n"/>
      <c r="L40" s="38" t="n"/>
      <c r="M40" s="38" t="n"/>
      <c r="N40" s="38" t="n"/>
      <c r="O40" s="38" t="n"/>
      <c r="P40" s="38" t="n"/>
      <c r="Q40" s="38" t="n"/>
    </row>
    <row r="41" ht="15" customHeight="1">
      <c r="A41" s="40" t="n"/>
      <c r="B41" s="40" t="n"/>
      <c r="C41" s="40" t="inlineStr">
        <is>
          <t>כלל רכב/דירה/עסק</t>
        </is>
      </c>
      <c r="D41" s="43" t="n">
        <v>121.7</v>
      </c>
      <c r="E41" s="45" t="n">
        <v>46017</v>
      </c>
      <c r="F41" s="40" t="inlineStr">
        <is>
          <t>משכנתא-ביטוח מבנה</t>
        </is>
      </c>
      <c r="G41" s="40" t="n"/>
      <c r="H41" s="40" t="n"/>
      <c r="I41" s="40" t="n"/>
      <c r="J41" s="40" t="n"/>
      <c r="K41" s="40" t="n"/>
      <c r="L41" s="40" t="n"/>
      <c r="M41" s="40" t="n"/>
      <c r="N41" s="40" t="n"/>
      <c r="O41" s="40" t="n"/>
      <c r="P41" s="40" t="n"/>
      <c r="Q41" s="40" t="n"/>
    </row>
    <row r="42" ht="15" customHeight="1">
      <c r="A42" s="38" t="n"/>
      <c r="B42" s="38" t="n"/>
      <c r="C42" s="38" t="inlineStr">
        <is>
          <t>מגדל חיים/בריאות</t>
        </is>
      </c>
      <c r="D42" s="42" t="n">
        <v>38.14</v>
      </c>
      <c r="E42" s="39" t="n">
        <v>46012</v>
      </c>
      <c r="F42" s="38" t="inlineStr">
        <is>
          <t>תומר ונטע מחלות קשות</t>
        </is>
      </c>
      <c r="G42" s="38" t="n"/>
      <c r="H42" s="38" t="n"/>
      <c r="I42" s="38" t="n"/>
      <c r="J42" s="38" t="n"/>
      <c r="K42" s="38" t="n"/>
      <c r="L42" s="38" t="n"/>
      <c r="M42" s="38" t="n"/>
      <c r="N42" s="38" t="n"/>
      <c r="O42" s="38" t="n"/>
      <c r="P42" s="38" t="n"/>
      <c r="Q42" s="38" t="n"/>
    </row>
    <row r="43" ht="15" customHeight="1">
      <c r="A43" s="40" t="n"/>
      <c r="B43" s="40" t="n"/>
      <c r="C43" s="40" t="inlineStr">
        <is>
          <t>איילון ביטוח חיים ובריאות</t>
        </is>
      </c>
      <c r="D43" s="43" t="n">
        <v>81.65000000000001</v>
      </c>
      <c r="E43" s="45" t="n">
        <v>46003</v>
      </c>
      <c r="F43" s="40" t="inlineStr">
        <is>
          <t>משכנתא-ביטוח חיים</t>
        </is>
      </c>
      <c r="G43" s="40" t="n"/>
      <c r="H43" s="40" t="n"/>
      <c r="I43" s="40" t="n"/>
      <c r="J43" s="40" t="n"/>
      <c r="K43" s="40" t="n"/>
      <c r="L43" s="40" t="n"/>
      <c r="M43" s="40" t="n"/>
      <c r="N43" s="40" t="n"/>
      <c r="O43" s="40" t="n"/>
      <c r="P43" s="40" t="n"/>
      <c r="Q43" s="40" t="n"/>
    </row>
    <row r="44" ht="15" customHeight="1">
      <c r="A44" s="38" t="n"/>
      <c r="B44" s="38" t="n"/>
      <c r="C44" s="38" t="inlineStr">
        <is>
          <t xml:space="preserve">הראל ביטוח בריאות </t>
        </is>
      </c>
      <c r="D44" s="42" t="n">
        <v>43.77</v>
      </c>
      <c r="E44" s="39" t="n">
        <v>46001</v>
      </c>
      <c r="F44" s="38" t="inlineStr">
        <is>
          <t>תאונות אישיות</t>
        </is>
      </c>
      <c r="G44" s="38" t="n"/>
      <c r="H44" s="38" t="n"/>
      <c r="I44" s="38" t="n"/>
      <c r="J44" s="38" t="n"/>
      <c r="K44" s="38" t="n"/>
      <c r="L44" s="38" t="n"/>
      <c r="M44" s="38" t="n"/>
      <c r="N44" s="38" t="n"/>
      <c r="O44" s="38" t="n"/>
      <c r="P44" s="38" t="n"/>
      <c r="Q44" s="38" t="n"/>
    </row>
    <row r="45" ht="15" customHeight="1">
      <c r="A45" s="40" t="n"/>
      <c r="B45" s="40" t="n"/>
      <c r="C45" s="40" t="inlineStr">
        <is>
          <t>סה"כ</t>
        </is>
      </c>
      <c r="D45" s="43" t="n">
        <v>380.26</v>
      </c>
      <c r="E45" s="40" t="n"/>
      <c r="F45" s="40" t="n"/>
      <c r="G45" s="40" t="n"/>
      <c r="H45" s="40" t="n"/>
      <c r="I45" s="40" t="n"/>
      <c r="J45" s="40" t="n"/>
      <c r="K45" s="40" t="n"/>
      <c r="L45" s="40" t="n"/>
      <c r="M45" s="40" t="n"/>
      <c r="N45" s="40" t="n"/>
      <c r="O45" s="40" t="n"/>
      <c r="P45" s="40" t="n"/>
      <c r="Q45" s="40" t="n"/>
    </row>
  </sheetData>
  <mergeCells count="6">
    <mergeCell ref="A26:A27"/>
    <mergeCell ref="A6:A9"/>
    <mergeCell ref="A19:A21"/>
    <mergeCell ref="A23:A24"/>
    <mergeCell ref="D4:E4"/>
    <mergeCell ref="A11:A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
  <sheetViews>
    <sheetView rightToLeft="1" workbookViewId="0">
      <pane ySplit="1" topLeftCell="A2" activePane="bottomLeft" state="frozen"/>
      <selection pane="bottomLeft" activeCell="A1" sqref="A1"/>
    </sheetView>
  </sheetViews>
  <sheetFormatPr baseColWidth="8" defaultRowHeight="15"/>
  <cols>
    <col width="9.875" customWidth="1" min="2" max="2"/>
    <col width="10.625" customWidth="1" min="3" max="3"/>
    <col width="17.625" customWidth="1" min="5" max="5"/>
    <col width="9.875" customWidth="1" min="6" max="6"/>
    <col width="20.625" customWidth="1" min="8" max="8"/>
  </cols>
  <sheetData>
    <row r="1" ht="15" customHeight="1">
      <c r="A1" s="46" t="inlineStr">
        <is>
          <t>מדיכלל השתלות וטיפולים מיוחדים בחו"ל 2016</t>
        </is>
      </c>
      <c r="B1" s="40" t="n"/>
      <c r="C1" s="40" t="n"/>
      <c r="D1" s="40" t="n"/>
      <c r="E1" s="40" t="n"/>
      <c r="F1" s="40" t="n"/>
      <c r="G1" s="40" t="n"/>
      <c r="H1" s="40" t="n"/>
      <c r="I1" s="40" t="n"/>
      <c r="J1" s="40" t="n"/>
    </row>
    <row r="2" ht="15" customHeight="1">
      <c r="A2" s="38" t="n"/>
      <c r="B2" s="38" t="n"/>
      <c r="C2" s="38" t="n"/>
      <c r="D2" s="38" t="inlineStr">
        <is>
          <t>מורן+יערה</t>
        </is>
      </c>
      <c r="E2" s="38" t="inlineStr">
        <is>
          <t>תומר+נטע</t>
        </is>
      </c>
      <c r="F2" s="38" t="n"/>
      <c r="G2" s="38" t="n"/>
      <c r="H2" s="38" t="n"/>
      <c r="I2" s="38" t="n"/>
      <c r="J2" s="38" t="n"/>
    </row>
    <row r="3" ht="60" customHeight="1">
      <c r="A3" s="40" t="inlineStr">
        <is>
          <t>כיסוי</t>
        </is>
      </c>
      <c r="B3" s="40" t="inlineStr">
        <is>
          <t>ענף ביטוח</t>
        </is>
      </c>
      <c r="C3" s="40" t="inlineStr">
        <is>
          <t>סכום ביטוח</t>
        </is>
      </c>
      <c r="D3" s="40" t="inlineStr">
        <is>
          <t>פרמיה חודשית אחרונה נדרשת</t>
        </is>
      </c>
      <c r="E3" s="40" t="inlineStr">
        <is>
          <t>פרמיה חודשית אחרונה נדרשת</t>
        </is>
      </c>
      <c r="F3" s="40" t="inlineStr">
        <is>
          <t>תאריך התחלה</t>
        </is>
      </c>
      <c r="G3" s="40" t="inlineStr">
        <is>
          <t>תאריך סיום</t>
        </is>
      </c>
      <c r="H3" s="40" t="inlineStr">
        <is>
          <t>סה"כ חיוב חודשי</t>
        </is>
      </c>
      <c r="I3" s="40" t="n"/>
      <c r="J3" s="40" t="n"/>
    </row>
    <row r="4" ht="57" customHeight="1">
      <c r="A4" s="38" t="inlineStr">
        <is>
          <t>נספח הרחבה לתרופות 2018</t>
        </is>
      </c>
      <c r="B4" s="38" t="inlineStr">
        <is>
          <t>תרופות</t>
        </is>
      </c>
      <c r="C4" s="38" t="n"/>
      <c r="D4" s="42" t="n">
        <v>33.72</v>
      </c>
      <c r="E4" s="42" t="n">
        <v>9.039999999999999</v>
      </c>
      <c r="F4" s="39" t="n">
        <v>43252</v>
      </c>
      <c r="G4" s="38" t="inlineStr">
        <is>
          <t>לכל החיים</t>
        </is>
      </c>
      <c r="H4" s="38" t="n"/>
      <c r="I4" s="42" t="n">
        <v>16.78</v>
      </c>
      <c r="J4" s="38" t="n"/>
    </row>
    <row r="5" ht="85.5" customHeight="1">
      <c r="A5" s="40" t="inlineStr">
        <is>
          <t>מדיכלל השתלות וטיפולים מיוחדים בחו"ל 2017</t>
        </is>
      </c>
      <c r="B5" s="40" t="inlineStr">
        <is>
          <t>השתלות</t>
        </is>
      </c>
      <c r="C5" s="40" t="n"/>
      <c r="D5" s="43" t="n">
        <v>39.4</v>
      </c>
      <c r="E5" s="43" t="n">
        <v>12.74</v>
      </c>
      <c r="F5" s="45" t="n">
        <v>43252</v>
      </c>
      <c r="G5" s="40" t="inlineStr">
        <is>
          <t>לכל החיים</t>
        </is>
      </c>
      <c r="H5" s="43" t="n">
        <v>136.64</v>
      </c>
      <c r="I5" s="43" t="n">
        <v>19.61</v>
      </c>
      <c r="J5" s="40" t="n"/>
    </row>
    <row r="6" ht="43.5" customHeight="1">
      <c r="A6" s="38" t="inlineStr">
        <is>
          <t>מדיכלל תרופות 2017</t>
        </is>
      </c>
      <c r="B6" s="38" t="inlineStr">
        <is>
          <t>תרופות</t>
        </is>
      </c>
      <c r="C6" s="38" t="n"/>
      <c r="D6" s="42" t="n">
        <v>31.78</v>
      </c>
      <c r="E6" s="42" t="n">
        <v>9.960000000000001</v>
      </c>
      <c r="F6" s="39" t="n">
        <v>43252</v>
      </c>
      <c r="G6" s="38" t="inlineStr">
        <is>
          <t>לכל החיים</t>
        </is>
      </c>
      <c r="H6" s="38" t="n"/>
      <c r="I6" s="42" t="n">
        <v>15.81</v>
      </c>
      <c r="J6" s="38" t="n"/>
    </row>
    <row r="7" ht="30.75" customHeight="1">
      <c r="A7" s="40" t="inlineStr">
        <is>
          <t>קולקטיב-חברת כלל</t>
        </is>
      </c>
      <c r="B7" s="40" t="n"/>
      <c r="C7" s="40" t="n"/>
      <c r="D7" s="40" t="n"/>
      <c r="E7" s="40" t="n"/>
      <c r="F7" s="40" t="n"/>
      <c r="G7" s="40" t="n"/>
      <c r="H7" s="40" t="n"/>
      <c r="I7" s="40" t="n"/>
      <c r="J7" s="40" t="n"/>
    </row>
    <row r="8" ht="60" customHeight="1">
      <c r="A8" s="38" t="inlineStr">
        <is>
          <t>כיסוי</t>
        </is>
      </c>
      <c r="B8" s="38" t="inlineStr">
        <is>
          <t>ענף ביטוח</t>
        </is>
      </c>
      <c r="C8" s="38" t="inlineStr">
        <is>
          <t>סכום ביטוח</t>
        </is>
      </c>
      <c r="D8" s="38" t="inlineStr">
        <is>
          <t>פרמיה חודשית אחרונה נדרשת</t>
        </is>
      </c>
      <c r="E8" s="38" t="inlineStr">
        <is>
          <t>פרימיה שנתית</t>
        </is>
      </c>
      <c r="F8" s="38" t="inlineStr">
        <is>
          <t>תאריך התחלה</t>
        </is>
      </c>
      <c r="G8" s="38" t="inlineStr">
        <is>
          <t>תאריך סיום</t>
        </is>
      </c>
      <c r="H8" s="38" t="inlineStr">
        <is>
          <t>תומר+נטע</t>
        </is>
      </c>
      <c r="I8" s="38" t="inlineStr">
        <is>
          <t>סה"כ חיוב חודשי</t>
        </is>
      </c>
      <c r="J8" s="38" t="inlineStr">
        <is>
          <t>מופיע בחיוב</t>
        </is>
      </c>
    </row>
    <row r="9" ht="114" customHeight="1">
      <c r="A9" s="40" t="inlineStr">
        <is>
          <t>אדוורדס לייפסיינסז - ההשתלות וטיפולים מיוחדים בחו"ל - 2021</t>
        </is>
      </c>
      <c r="B9" s="40" t="inlineStr">
        <is>
          <t>השתלות</t>
        </is>
      </c>
      <c r="C9" s="40" t="n"/>
      <c r="D9" s="40" t="n"/>
      <c r="E9" s="40" t="n"/>
      <c r="F9" s="45" t="n">
        <v>44256</v>
      </c>
      <c r="G9" s="45" t="n">
        <v>46081</v>
      </c>
      <c r="H9" s="40" t="inlineStr">
        <is>
          <t>ניתוחים מהשקל הראשון ומחליפי ניתוח 2021 + ביטוח מחלות קשות 38 ש"ח (חברת מגדל)</t>
        </is>
      </c>
      <c r="I9" s="43" t="n">
        <v>193.12</v>
      </c>
      <c r="J9" s="40" t="inlineStr">
        <is>
          <t>מגדל חיים/בריאות</t>
        </is>
      </c>
    </row>
    <row r="10" ht="85.5" customHeight="1">
      <c r="A10" s="38" t="inlineStr">
        <is>
          <t>אדוורדס לייפסיינסז תרופות שאינן בסל הבריאות 2021</t>
        </is>
      </c>
      <c r="B10" s="38" t="inlineStr">
        <is>
          <t>השתלות</t>
        </is>
      </c>
      <c r="C10" s="38" t="n"/>
      <c r="D10" s="38" t="inlineStr">
        <is>
          <t>עבור מורן 98.4 ₪(משולם ע"י המעסיק)</t>
        </is>
      </c>
      <c r="E10" s="38" t="n"/>
      <c r="F10" s="39" t="n">
        <v>44256</v>
      </c>
      <c r="G10" s="39" t="n">
        <v>46081</v>
      </c>
      <c r="H10" s="38" t="inlineStr">
        <is>
          <t>כיסוי:360,000 ₪</t>
        </is>
      </c>
      <c r="I10" s="38" t="n"/>
      <c r="J10" s="38" t="n"/>
    </row>
    <row r="11" ht="71.25" customHeight="1">
      <c r="A11" s="40" t="inlineStr">
        <is>
          <t>אדוורדס לייפסיינסז -הרחבה לתרופות - 2021</t>
        </is>
      </c>
      <c r="B11" s="40" t="inlineStr">
        <is>
          <t>השתלות</t>
        </is>
      </c>
      <c r="C11" s="40" t="n"/>
      <c r="D11" s="40" t="n"/>
      <c r="E11" s="40" t="n"/>
      <c r="F11" s="45" t="n">
        <v>44256</v>
      </c>
      <c r="G11" s="45" t="n">
        <v>46081</v>
      </c>
      <c r="H11" s="40" t="inlineStr">
        <is>
          <t>תשלום חודשי 19 ₪ עבור כל ילד</t>
        </is>
      </c>
      <c r="I11" s="40" t="n"/>
      <c r="J11" s="40" t="n"/>
    </row>
    <row r="12" ht="100.5" customHeight="1">
      <c r="A12" s="38" t="inlineStr">
        <is>
          <t>אדוורדס לייפסיינסז- ניתוחים ומחליפי ניתוח בחו"ל 2021</t>
        </is>
      </c>
      <c r="B12" s="38" t="inlineStr">
        <is>
          <t>השתלות</t>
        </is>
      </c>
      <c r="C12" s="38" t="n"/>
      <c r="D12" s="38" t="n"/>
      <c r="E12" s="38" t="n"/>
      <c r="F12" s="39" t="n">
        <v>44256</v>
      </c>
      <c r="G12" s="39" t="n">
        <v>46081</v>
      </c>
      <c r="H12" s="38" t="inlineStr">
        <is>
          <t>תוקף פוליסה: 01/06/2026</t>
        </is>
      </c>
      <c r="I12" s="38" t="n"/>
      <c r="J12" s="38" t="n"/>
    </row>
    <row r="13" ht="100.5" customHeight="1">
      <c r="A13" s="40" t="inlineStr">
        <is>
          <t>אדוורדס לייפסיינס -שירותים אמבולטורים והוצאות מיוחדות- 2021</t>
        </is>
      </c>
      <c r="B13" s="40" t="inlineStr">
        <is>
          <t>השתלות</t>
        </is>
      </c>
      <c r="C13" s="40" t="n"/>
      <c r="D13" s="40" t="n"/>
      <c r="E13" s="40" t="n"/>
      <c r="F13" s="45" t="n">
        <v>44256</v>
      </c>
      <c r="G13" s="45" t="n">
        <v>46081</v>
      </c>
      <c r="H13" s="40" t="n"/>
      <c r="I13" s="40" t="n"/>
      <c r="J13" s="40" t="n"/>
    </row>
    <row r="14" ht="15" customHeight="1"/>
    <row r="15" ht="29.25" customHeight="1">
      <c r="A15" s="40" t="inlineStr">
        <is>
          <t>סוג</t>
        </is>
      </c>
      <c r="B15" s="40" t="inlineStr">
        <is>
          <t>מספר פוליסה</t>
        </is>
      </c>
      <c r="C15" s="40" t="inlineStr">
        <is>
          <t>חברה</t>
        </is>
      </c>
      <c r="D15" s="40" t="inlineStr">
        <is>
          <t>עלות</t>
        </is>
      </c>
      <c r="E15" s="40" t="inlineStr">
        <is>
          <t>הערות</t>
        </is>
      </c>
      <c r="F15" s="40" t="inlineStr">
        <is>
          <t>מופיע בחיוב</t>
        </is>
      </c>
      <c r="G15" s="40" t="n"/>
      <c r="H15" s="40" t="n"/>
      <c r="I15" s="40" t="n"/>
      <c r="J15" s="40" t="n"/>
    </row>
    <row r="16" ht="42.75" customHeight="1">
      <c r="A16" s="38" t="inlineStr">
        <is>
          <t>סיעודי תומר (כללית)</t>
        </is>
      </c>
      <c r="B16" s="38" t="n"/>
      <c r="C16" s="38" t="inlineStr">
        <is>
          <t>הראל</t>
        </is>
      </c>
      <c r="D16" s="38" t="n">
        <v>0</v>
      </c>
      <c r="E16" s="38" t="inlineStr">
        <is>
          <t>סעודי משפחתי 135.86</t>
        </is>
      </c>
      <c r="F16" s="38" t="n"/>
      <c r="G16" s="38" t="n"/>
      <c r="H16" s="38" t="n"/>
      <c r="I16" s="38" t="n"/>
      <c r="J16" s="38" t="n"/>
    </row>
    <row r="17" ht="29.25" customHeight="1">
      <c r="A17" s="40" t="inlineStr">
        <is>
          <t>סיעודי מורן (כללית)</t>
        </is>
      </c>
      <c r="B17" s="40" t="n"/>
      <c r="C17" s="40" t="inlineStr">
        <is>
          <t>הראל</t>
        </is>
      </c>
      <c r="D17" s="43" t="n">
        <v>67.90000000000001</v>
      </c>
      <c r="F17" s="40" t="n"/>
      <c r="G17" s="40" t="n"/>
      <c r="H17" s="40" t="n"/>
      <c r="I17" s="40" t="n"/>
      <c r="J17" s="40" t="n"/>
    </row>
    <row r="18" ht="29.25" customHeight="1">
      <c r="A18" s="38" t="inlineStr">
        <is>
          <t>תאונות אישיות</t>
        </is>
      </c>
      <c r="B18" s="38" t="n"/>
      <c r="C18" s="38" t="inlineStr">
        <is>
          <t>הראל (דקלה)</t>
        </is>
      </c>
      <c r="D18" s="42" t="n">
        <v>43.77</v>
      </c>
      <c r="E18" s="38" t="inlineStr">
        <is>
          <t>כיסוי 282,500 ₪</t>
        </is>
      </c>
      <c r="F18" s="38" t="inlineStr">
        <is>
          <t>הראל ביטוח בריאות</t>
        </is>
      </c>
      <c r="G18" s="38" t="n"/>
      <c r="H18" s="38" t="n"/>
      <c r="I18" s="38" t="n"/>
      <c r="J18" s="38" t="n"/>
    </row>
    <row r="19" ht="28.5" customHeight="1">
      <c r="A19" s="40" t="inlineStr">
        <is>
          <t>כללית מושלם</t>
        </is>
      </c>
      <c r="B19" s="40" t="inlineStr">
        <is>
          <t>מבוגר</t>
        </is>
      </c>
      <c r="C19" s="40" t="inlineStr">
        <is>
          <t>כללית</t>
        </is>
      </c>
      <c r="D19" s="43" t="n">
        <v>62.02</v>
      </c>
      <c r="E19" s="40" t="inlineStr">
        <is>
          <t>143.9 מושלם משפחתי</t>
        </is>
      </c>
      <c r="F19" s="40" t="n"/>
      <c r="G19" s="40" t="n"/>
      <c r="H19" s="40" t="n"/>
      <c r="I19" s="40" t="n"/>
      <c r="J19" s="40" t="n"/>
    </row>
    <row r="20" ht="29.25" customHeight="1">
      <c r="A20" s="38" t="inlineStr">
        <is>
          <t>כללית מושלם</t>
        </is>
      </c>
      <c r="B20" s="38" t="inlineStr">
        <is>
          <t>ילד</t>
        </is>
      </c>
      <c r="C20" s="38" t="inlineStr">
        <is>
          <t>כללית</t>
        </is>
      </c>
      <c r="D20" s="42" t="n">
        <v>9.93</v>
      </c>
      <c r="F20" s="38" t="n"/>
      <c r="G20" s="38" t="n"/>
      <c r="H20" s="38" t="n"/>
      <c r="I20" s="38" t="n"/>
      <c r="J20" s="38" t="n"/>
    </row>
  </sheetData>
  <mergeCells count="2">
    <mergeCell ref="E16:E17"/>
    <mergeCell ref="E19:E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rightToLeft="1" workbookViewId="0">
      <pane ySplit="1" topLeftCell="A2" activePane="bottomLeft" state="frozen"/>
      <selection pane="bottomLeft" activeCell="A1" sqref="A1"/>
    </sheetView>
  </sheetViews>
  <sheetFormatPr baseColWidth="8" defaultRowHeight="15"/>
  <cols>
    <col width="21" customWidth="1" min="1" max="1"/>
    <col width="132.625" customWidth="1" min="2" max="2"/>
    <col width="13" customWidth="1" min="3" max="3"/>
    <col width="11.875" customWidth="1" min="6" max="6"/>
  </cols>
  <sheetData>
    <row r="1" ht="15" customHeight="1"/>
    <row r="2" ht="15" customHeight="1"/>
    <row r="3" ht="15" customHeight="1"/>
    <row r="4" ht="15" customHeight="1">
      <c r="A4" s="38" t="n"/>
      <c r="B4" s="38" t="n"/>
      <c r="C4" s="38" t="n"/>
      <c r="D4" s="46" t="inlineStr">
        <is>
          <t>דמי ניהול</t>
        </is>
      </c>
      <c r="F4" s="38" t="n"/>
    </row>
    <row r="5" ht="15" customHeight="1">
      <c r="A5" s="40" t="n"/>
      <c r="B5" s="40" t="n"/>
      <c r="C5" s="40" t="inlineStr">
        <is>
          <t>תשלום/העברה</t>
        </is>
      </c>
      <c r="D5" s="40" t="inlineStr">
        <is>
          <t>מהפקדות</t>
        </is>
      </c>
      <c r="E5" s="40" t="inlineStr">
        <is>
          <t>מצבירה (שנתי)</t>
        </is>
      </c>
      <c r="F5" s="40" t="n"/>
    </row>
    <row r="6" ht="15" customHeight="1">
      <c r="A6" s="38" t="inlineStr">
        <is>
          <t>פנסייה</t>
        </is>
      </c>
      <c r="B6" s="38" t="inlineStr">
        <is>
          <t>מנורה מבטחים פנסייה מקיפה  61.98% עוקב מדד 500 S&amp;P ו-38.02% אשראי ואג"ח</t>
        </is>
      </c>
      <c r="C6" s="38" t="n"/>
      <c r="D6" s="42" t="n">
        <v>1.5</v>
      </c>
      <c r="E6" s="42" t="n">
        <v>0.05</v>
      </c>
      <c r="F6" s="41" t="n">
        <v>693564.37</v>
      </c>
    </row>
    <row r="7" ht="15" customHeight="1">
      <c r="A7" s="40" t="n"/>
      <c r="B7" s="40" t="inlineStr">
        <is>
          <t xml:space="preserve">מנורה מבטחים משלימה  יעד פרישה 2050 </t>
        </is>
      </c>
      <c r="C7" s="40" t="n">
        <v>0</v>
      </c>
      <c r="D7" s="43" t="n">
        <v>1.5</v>
      </c>
      <c r="E7" s="43" t="n">
        <v>0.05</v>
      </c>
      <c r="F7" s="44" t="n">
        <v>35006.9</v>
      </c>
    </row>
    <row r="8" ht="15" customHeight="1"/>
    <row r="9" ht="15" customHeight="1">
      <c r="A9" s="40" t="inlineStr">
        <is>
          <t>קופת גמל (קרן השתלמות)</t>
        </is>
      </c>
      <c r="B9" s="40" t="inlineStr">
        <is>
          <t>מנורה מבטחים השתלמות | מספר חשבון  | מספר קופה 828- 40% השתלמות כללי + 20%  מסלול סנופי + 40% השתלמות מניות סחיר</t>
        </is>
      </c>
      <c r="C9" s="40" t="n"/>
      <c r="D9" s="40" t="n"/>
      <c r="E9" s="43" t="n">
        <v>0.5</v>
      </c>
      <c r="F9" s="44" t="n">
        <v>94239.58</v>
      </c>
    </row>
    <row r="10" ht="15" customHeight="1">
      <c r="B10" s="38" t="inlineStr">
        <is>
          <t>מנורה מבטחים השתלמות | מספר חשבון  | מספר קופה 828- 38% השתלמות כללי + 21%  מסלול סנופי + 40% השתלמות מניות סחיר</t>
        </is>
      </c>
      <c r="C10" s="38" t="n"/>
      <c r="D10" s="38" t="n"/>
      <c r="E10" s="42" t="n">
        <v>0.5</v>
      </c>
      <c r="F10" s="41" t="n">
        <v>144655.54</v>
      </c>
    </row>
    <row r="11" ht="15" customHeight="1">
      <c r="B11" s="40" t="inlineStr">
        <is>
          <t>הלוואה 51,500/66,252</t>
        </is>
      </c>
      <c r="C11" s="40" t="n"/>
      <c r="D11" s="40" t="n"/>
      <c r="E11" s="40" t="n"/>
      <c r="F11" s="40" t="n"/>
    </row>
    <row r="12" ht="15" customHeight="1"/>
    <row r="13" ht="15" customHeight="1"/>
    <row r="14" ht="15" customHeight="1"/>
    <row r="15" ht="15" customHeight="1"/>
    <row r="16" ht="15" customHeight="1"/>
    <row r="17" ht="15" customHeight="1"/>
    <row r="18" ht="15" customHeight="1"/>
    <row r="19" ht="15" customHeight="1">
      <c r="A19" s="40" t="n"/>
      <c r="B19" s="40" t="inlineStr">
        <is>
          <t>dd</t>
        </is>
      </c>
      <c r="C19" s="40" t="n"/>
      <c r="D19" s="40" t="n"/>
      <c r="E19" s="40" t="n"/>
      <c r="F19" s="40" t="n"/>
    </row>
  </sheetData>
  <mergeCells count="2">
    <mergeCell ref="D4:E4"/>
    <mergeCell ref="A9:A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3"/>
  <sheetViews>
    <sheetView rightToLeft="1" workbookViewId="0">
      <pane ySplit="1" topLeftCell="A2" activePane="bottomLeft" state="frozen"/>
      <selection pane="bottomLeft" activeCell="A1" sqref="A1"/>
    </sheetView>
  </sheetViews>
  <sheetFormatPr baseColWidth="8" defaultRowHeight="15"/>
  <cols>
    <col width="33" customWidth="1" min="1" max="1"/>
    <col width="77.875" customWidth="1" min="2" max="2"/>
    <col width="21.25" customWidth="1" min="3" max="3"/>
    <col width="21.75" customWidth="1" min="4" max="4"/>
    <col width="19.25" customWidth="1" min="5" max="5"/>
    <col width="27.125" customWidth="1" min="6" max="6"/>
    <col width="10.625" customWidth="1" min="7" max="7"/>
    <col width="15" customWidth="1" min="9" max="9"/>
    <col width="32.25" customWidth="1" min="13" max="13"/>
  </cols>
  <sheetData>
    <row r="1" ht="15" customHeight="1"/>
    <row r="2" ht="15" customHeight="1">
      <c r="A2" s="37" t="n">
        <v>45669</v>
      </c>
      <c r="B2" s="38" t="n"/>
      <c r="C2" s="38" t="n"/>
      <c r="D2" s="38" t="n"/>
      <c r="E2" s="38" t="n"/>
      <c r="F2" s="38" t="n"/>
      <c r="G2" s="38" t="n"/>
      <c r="H2" s="38" t="n"/>
      <c r="I2" s="38" t="n"/>
      <c r="J2" s="38" t="n"/>
      <c r="K2" s="38" t="n"/>
      <c r="L2" s="38" t="n"/>
      <c r="M2" s="38" t="n"/>
      <c r="N2" s="38" t="n"/>
      <c r="O2" s="38" t="n"/>
      <c r="P2" s="38" t="n"/>
      <c r="Q2" s="38" t="n"/>
      <c r="R2" s="38" t="n"/>
    </row>
    <row r="3" ht="15" customHeight="1"/>
    <row r="4" ht="15" customHeight="1">
      <c r="A4" s="38" t="n"/>
      <c r="B4" s="38" t="n"/>
      <c r="C4" s="38" t="n"/>
      <c r="D4" s="38" t="inlineStr">
        <is>
          <t>דמי ניהול</t>
        </is>
      </c>
      <c r="F4" s="38" t="n"/>
      <c r="G4" s="38" t="n"/>
      <c r="H4" s="38" t="n"/>
      <c r="I4" s="39" t="n">
        <v>44579</v>
      </c>
      <c r="J4" s="39" t="n">
        <v>44707</v>
      </c>
      <c r="K4" s="39" t="n">
        <v>44865</v>
      </c>
      <c r="L4" s="39" t="n">
        <v>44940</v>
      </c>
      <c r="M4" s="39" t="n">
        <v>45085</v>
      </c>
      <c r="N4" s="39" t="n">
        <v>45103</v>
      </c>
      <c r="O4" s="39" t="n">
        <v>45479</v>
      </c>
      <c r="P4" s="39" t="n">
        <v>45609</v>
      </c>
      <c r="Q4" s="39" t="n">
        <v>45801</v>
      </c>
      <c r="R4" s="39" t="n">
        <v>45962</v>
      </c>
    </row>
    <row r="5" ht="15" customHeight="1">
      <c r="A5" s="40" t="n"/>
      <c r="B5" s="40" t="n"/>
      <c r="C5" s="40" t="inlineStr">
        <is>
          <t>תשלום/העברה</t>
        </is>
      </c>
      <c r="D5" s="40" t="inlineStr">
        <is>
          <t>מהפקדות</t>
        </is>
      </c>
      <c r="E5" s="40" t="inlineStr">
        <is>
          <t>מצבירה (שנתי)</t>
        </is>
      </c>
      <c r="F5" s="40" t="inlineStr">
        <is>
          <t>תגמולי עובד</t>
        </is>
      </c>
      <c r="G5" s="40" t="inlineStr">
        <is>
          <t>תגמולי מעביד</t>
        </is>
      </c>
      <c r="H5" s="40" t="inlineStr">
        <is>
          <t>הפקדה</t>
        </is>
      </c>
      <c r="I5" s="40" t="inlineStr">
        <is>
          <t>צבירה</t>
        </is>
      </c>
      <c r="J5" s="40" t="inlineStr">
        <is>
          <t>צבירה</t>
        </is>
      </c>
      <c r="K5" s="40" t="inlineStr">
        <is>
          <t>צבירה</t>
        </is>
      </c>
      <c r="L5" s="40" t="inlineStr">
        <is>
          <t>צבירה</t>
        </is>
      </c>
      <c r="M5" s="40" t="n"/>
      <c r="N5" s="40" t="n"/>
      <c r="O5" s="40" t="n"/>
      <c r="P5" s="40" t="n"/>
      <c r="Q5" s="40" t="n"/>
      <c r="R5" s="40" t="n"/>
    </row>
    <row r="6" ht="15.75" customHeight="1">
      <c r="A6" s="38" t="inlineStr">
        <is>
          <t>פנסייה</t>
        </is>
      </c>
      <c r="B6" s="38" t="inlineStr">
        <is>
          <t xml:space="preserve"> 1.2.  פנסיה מקיפה  (חדש) S&amp;P500, כלל דמי ניהול יורדים ע"פ הצבירה 13347 12/2024</t>
        </is>
      </c>
      <c r="C6" s="38" t="n"/>
      <c r="D6" s="42" t="n">
        <v>1.75</v>
      </c>
      <c r="E6" s="42" t="n">
        <v>0.08400000000000001</v>
      </c>
      <c r="F6" s="42" t="n">
        <v>0.06</v>
      </c>
      <c r="G6" s="42" t="n">
        <v>0.065</v>
      </c>
      <c r="H6" s="41" t="n">
        <v>5140</v>
      </c>
      <c r="I6" s="38" t="n"/>
      <c r="J6" s="38" t="n"/>
      <c r="K6" s="38" t="n"/>
      <c r="L6" s="38" t="n"/>
      <c r="M6" s="38" t="n"/>
      <c r="N6" s="38" t="n"/>
      <c r="O6" s="38" t="n"/>
      <c r="P6" s="41" t="n">
        <v>563121</v>
      </c>
      <c r="Q6" s="41" t="n">
        <v>568209</v>
      </c>
      <c r="R6" s="38" t="n"/>
    </row>
    <row r="7" ht="15.75" customHeight="1">
      <c r="A7" s="40" t="n"/>
      <c r="B7" s="40" t="inlineStr">
        <is>
          <t>2.2 כלל פנסיה משלימה עוקב מדדי מניות  (חדש) 15091</t>
        </is>
      </c>
      <c r="C7" s="40" t="n"/>
      <c r="D7" s="43" t="n">
        <v>1</v>
      </c>
      <c r="E7" s="43" t="n">
        <v>0.18</v>
      </c>
      <c r="F7" s="43" t="n">
        <v>0.06</v>
      </c>
      <c r="G7" s="43" t="n">
        <v>0.065</v>
      </c>
      <c r="H7" s="43" t="n">
        <v>698</v>
      </c>
      <c r="I7" s="40" t="n"/>
      <c r="J7" s="40" t="n"/>
      <c r="K7" s="40" t="n"/>
      <c r="L7" s="40" t="n"/>
      <c r="M7" s="40" t="n"/>
      <c r="N7" s="40" t="n"/>
      <c r="O7" s="40" t="n"/>
      <c r="P7" s="44" t="n">
        <v>18900</v>
      </c>
      <c r="Q7" s="44" t="n">
        <v>20130</v>
      </c>
      <c r="R7" s="40" t="n"/>
    </row>
    <row r="8" ht="15" customHeight="1"/>
    <row r="9" ht="15.75" customHeight="1">
      <c r="A9" s="40" t="inlineStr">
        <is>
          <t>קופת גמל (קרן השתלמות)</t>
        </is>
      </c>
      <c r="B9" s="40" t="inlineStr">
        <is>
          <t xml:space="preserve">הפניקס פוליסת סיכון טהור-מטרייה לקרן הפנסייה  </t>
        </is>
      </c>
      <c r="C9" s="40" t="inlineStr">
        <is>
          <t>היה 63 עכשיו 95</t>
        </is>
      </c>
      <c r="D9" s="40" t="inlineStr">
        <is>
          <t>-</t>
        </is>
      </c>
      <c r="E9" s="40" t="inlineStr">
        <is>
          <t>-</t>
        </is>
      </c>
      <c r="F9" s="40" t="inlineStr">
        <is>
          <t>כיסוי של 21,227 ₪</t>
        </is>
      </c>
      <c r="G9" s="40" t="inlineStr">
        <is>
          <t>-</t>
        </is>
      </c>
      <c r="H9" s="40" t="n"/>
      <c r="I9" s="40" t="inlineStr">
        <is>
          <t>-</t>
        </is>
      </c>
      <c r="J9" s="40" t="inlineStr">
        <is>
          <t>-</t>
        </is>
      </c>
      <c r="K9" s="40" t="n"/>
      <c r="L9" s="40" t="inlineStr">
        <is>
          <t>-</t>
        </is>
      </c>
      <c r="M9" s="40" t="inlineStr">
        <is>
          <t>אובדן כושר עבודה 17210 ש"ח,4779 ₪ ביטוח חיים</t>
        </is>
      </c>
      <c r="N9" s="40" t="n"/>
      <c r="O9" s="40" t="n"/>
      <c r="P9" s="40" t="n"/>
      <c r="Q9" s="44" t="n">
        <v>21315</v>
      </c>
      <c r="R9" s="40" t="n"/>
    </row>
    <row r="10" ht="15" customHeight="1">
      <c r="B10" s="38" t="inlineStr">
        <is>
          <t>3.3. אנליסט השתלמות משולב סחיר 8779 שכיר חדש (), השתנה (13/11/24)  למשולב סחיר 8779(50%) + השתלמות כללי 962(50%)</t>
        </is>
      </c>
      <c r="C10" s="38" t="inlineStr">
        <is>
          <t>שכר של 28,025</t>
        </is>
      </c>
      <c r="D10" s="38" t="inlineStr">
        <is>
          <t>8779+962</t>
        </is>
      </c>
      <c r="E10" s="42" t="n">
        <v>0.7</v>
      </c>
      <c r="F10" s="42" t="n">
        <v>0.025</v>
      </c>
      <c r="G10" s="42" t="n">
        <v>0.075</v>
      </c>
      <c r="H10" s="41" t="n">
        <v>2803</v>
      </c>
      <c r="I10" s="38" t="n"/>
      <c r="J10" s="38" t="n"/>
      <c r="K10" s="38" t="n"/>
      <c r="L10" s="38" t="n"/>
      <c r="M10" s="41" t="n">
        <v>62655</v>
      </c>
      <c r="N10" s="41" t="n">
        <v>69299</v>
      </c>
      <c r="O10" s="41" t="n">
        <v>108599</v>
      </c>
      <c r="P10" s="41" t="n">
        <v>124624</v>
      </c>
      <c r="Q10" s="41" t="n">
        <v>146750</v>
      </c>
      <c r="R10" s="41" t="n">
        <v>167568</v>
      </c>
    </row>
    <row r="11" ht="15.75" customHeight="1">
      <c r="B11" s="40" t="inlineStr">
        <is>
          <t>אנליסט   (אוצר 560) לא פעיל, השתלמות משולב סחיר 8779 3.3</t>
        </is>
      </c>
      <c r="C11" s="40" t="n"/>
      <c r="D11" s="40" t="inlineStr">
        <is>
          <t>נזיל (לא פעיל)</t>
        </is>
      </c>
      <c r="E11" s="40" t="inlineStr">
        <is>
          <t>נוכחי0.7/0.0583ישן</t>
        </is>
      </c>
      <c r="F11" s="40" t="n"/>
      <c r="G11" s="40" t="n"/>
      <c r="H11" s="40" t="n"/>
      <c r="I11" s="40" t="n"/>
      <c r="J11" s="40" t="n"/>
      <c r="K11" s="40" t="n"/>
      <c r="L11" s="40" t="n"/>
      <c r="M11" s="40" t="n"/>
      <c r="N11" s="40" t="n"/>
      <c r="O11" s="40" t="n"/>
      <c r="P11" s="44" t="n">
        <v>53605</v>
      </c>
      <c r="Q11" s="44" t="n">
        <v>52570</v>
      </c>
      <c r="R11" s="44" t="n">
        <v>52412</v>
      </c>
    </row>
    <row r="12" ht="15" customHeight="1"/>
    <row r="13" ht="15.75" customHeight="1">
      <c r="A13" s="40" t="inlineStr">
        <is>
          <t>אינטרנט</t>
        </is>
      </c>
      <c r="B13" s="40" t="inlineStr">
        <is>
          <t>Triple C</t>
        </is>
      </c>
      <c r="C13" s="43" t="n">
        <v>75</v>
      </c>
      <c r="D13" s="40" t="n"/>
      <c r="E13" s="45" t="n">
        <v>46076</v>
      </c>
      <c r="F13" s="40" t="inlineStr">
        <is>
          <t>פנייה מספר: 40725 (טל)</t>
        </is>
      </c>
      <c r="G13" s="40" t="n"/>
      <c r="H13" s="40" t="n"/>
      <c r="I13" s="40" t="n"/>
      <c r="J13" s="40" t="n"/>
      <c r="K13" s="40" t="n"/>
      <c r="L13" s="40" t="n"/>
      <c r="M13" s="40" t="n"/>
      <c r="N13" s="40" t="n"/>
      <c r="O13" s="40" t="n"/>
      <c r="P13" s="40" t="n"/>
      <c r="Q13" s="40" t="n"/>
      <c r="R13" s="40" t="n"/>
    </row>
    <row r="14" ht="15" customHeight="1"/>
    <row r="15" ht="15" customHeight="1">
      <c r="A15" s="40" t="inlineStr">
        <is>
          <t>טלפון</t>
        </is>
      </c>
      <c r="B15" s="40" t="inlineStr">
        <is>
          <t>מורן-012</t>
        </is>
      </c>
      <c r="C15" s="43" t="n">
        <v>19.9</v>
      </c>
      <c r="D15" s="40" t="inlineStr">
        <is>
          <t>-</t>
        </is>
      </c>
      <c r="E15" s="45" t="n">
        <v>45550</v>
      </c>
      <c r="F15" s="40" t="n"/>
      <c r="G15" s="40" t="n"/>
      <c r="H15" s="40" t="n"/>
      <c r="I15" s="40" t="n"/>
      <c r="J15" s="40" t="n"/>
      <c r="K15" s="40" t="n"/>
      <c r="L15" s="40" t="n"/>
      <c r="M15" s="40" t="n"/>
      <c r="N15" s="40" t="n"/>
      <c r="O15" s="40" t="n"/>
      <c r="P15" s="40" t="n"/>
      <c r="Q15" s="40" t="n"/>
      <c r="R15" s="40" t="n"/>
    </row>
    <row r="16" ht="15" customHeight="1">
      <c r="B16" s="38" t="inlineStr">
        <is>
          <t>תומר-019</t>
        </is>
      </c>
      <c r="C16" s="42" t="n">
        <v>21.9</v>
      </c>
      <c r="D16" s="38" t="n"/>
      <c r="E16" s="38" t="inlineStr">
        <is>
          <t>לכל החיים</t>
        </is>
      </c>
      <c r="F16" s="38" t="n"/>
      <c r="G16" s="38" t="n"/>
      <c r="H16" s="38" t="n"/>
      <c r="I16" s="38" t="n"/>
      <c r="J16" s="38" t="n"/>
      <c r="K16" s="38" t="n"/>
      <c r="L16" s="38" t="n"/>
      <c r="M16" s="38" t="n"/>
      <c r="N16" s="38" t="n"/>
      <c r="O16" s="38" t="n"/>
      <c r="P16" s="38" t="n"/>
      <c r="Q16" s="38" t="n"/>
      <c r="R16" s="38" t="n"/>
    </row>
    <row r="17" ht="15" customHeight="1">
      <c r="B17" s="40" t="inlineStr">
        <is>
          <t>נטע-019</t>
        </is>
      </c>
      <c r="C17" s="43" t="n">
        <v>10</v>
      </c>
      <c r="D17" s="40" t="inlineStr">
        <is>
          <t>-</t>
        </is>
      </c>
      <c r="E17" s="40" t="inlineStr">
        <is>
          <t>לכל החיים</t>
        </is>
      </c>
      <c r="F17" s="40" t="n"/>
      <c r="G17" s="40" t="n"/>
      <c r="H17" s="40" t="n"/>
      <c r="I17" s="40" t="n"/>
      <c r="J17" s="40" t="n"/>
      <c r="K17" s="40" t="n"/>
      <c r="L17" s="40" t="n"/>
      <c r="M17" s="40" t="n"/>
      <c r="N17" s="40" t="n"/>
      <c r="O17" s="40" t="n"/>
      <c r="P17" s="40" t="n"/>
      <c r="Q17" s="40" t="n"/>
      <c r="R17" s="40" t="n"/>
    </row>
    <row r="18" ht="15" customHeight="1">
      <c r="A18" s="38" t="n"/>
      <c r="B18" s="38" t="n"/>
      <c r="C18" s="38" t="n"/>
      <c r="D18" s="38" t="n"/>
      <c r="E18" s="38" t="inlineStr">
        <is>
          <t>מופיע בחיוב</t>
        </is>
      </c>
      <c r="F18" s="38" t="n"/>
      <c r="G18" s="38" t="n"/>
      <c r="H18" s="38" t="n"/>
      <c r="I18" s="38" t="n"/>
      <c r="J18" s="38" t="n"/>
      <c r="K18" s="38" t="n"/>
      <c r="L18" s="38" t="n"/>
      <c r="M18" s="38" t="n"/>
      <c r="N18" s="38" t="n"/>
      <c r="O18" s="38" t="n"/>
      <c r="P18" s="38" t="n"/>
      <c r="Q18" s="38" t="n"/>
      <c r="R18" s="38" t="n"/>
    </row>
    <row r="19" ht="15" customHeight="1">
      <c r="A19" s="40" t="inlineStr">
        <is>
          <t>משכנתא</t>
        </is>
      </c>
      <c r="B19" s="40" t="inlineStr">
        <is>
          <t xml:space="preserve">ביטוח מבנה (כלל) מספר פוליסה:  </t>
        </is>
      </c>
      <c r="C19" s="40" t="inlineStr">
        <is>
          <t>1498/124.8</t>
        </is>
      </c>
      <c r="D19" s="45" t="n">
        <v>46173</v>
      </c>
      <c r="E19" s="40" t="n"/>
      <c r="F19" s="40" t="n"/>
      <c r="G19" s="40" t="n"/>
      <c r="H19" s="40" t="n"/>
      <c r="I19" s="40" t="n"/>
      <c r="J19" s="40" t="n"/>
      <c r="K19" s="40" t="n"/>
      <c r="L19" s="40" t="n"/>
      <c r="M19" s="40" t="n"/>
      <c r="N19" s="40" t="n"/>
      <c r="O19" s="40" t="n"/>
      <c r="P19" s="40" t="n"/>
      <c r="Q19" s="40" t="n"/>
      <c r="R19" s="40" t="n"/>
    </row>
    <row r="20" ht="15" customHeight="1">
      <c r="B20" s="38" t="inlineStr">
        <is>
          <t xml:space="preserve">חיים (איילון) מספר פוליסה: </t>
        </is>
      </c>
      <c r="C20" s="42" t="n">
        <v>96</v>
      </c>
      <c r="D20" s="39" t="n">
        <v>45797</v>
      </c>
      <c r="E20" s="38" t="inlineStr">
        <is>
          <t>איילון ביטוח חיים ובריאות</t>
        </is>
      </c>
      <c r="F20" s="38" t="inlineStr">
        <is>
          <t>אויפמן נטליה 054-5657074 (BMC)</t>
        </is>
      </c>
      <c r="G20" s="38" t="n"/>
      <c r="H20" s="38" t="n"/>
      <c r="I20" s="38" t="n"/>
      <c r="J20" s="38" t="n"/>
      <c r="K20" s="38" t="n"/>
      <c r="L20" s="38" t="n"/>
      <c r="M20" s="38" t="n"/>
      <c r="N20" s="38" t="n"/>
      <c r="O20" s="38" t="n"/>
      <c r="P20" s="38" t="n"/>
      <c r="Q20" s="38" t="n"/>
      <c r="R20" s="38" t="n"/>
    </row>
    <row r="21" ht="15" customHeight="1"/>
    <row r="22" ht="15" customHeight="1">
      <c r="A22" s="38" t="inlineStr">
        <is>
          <t>רכב</t>
        </is>
      </c>
      <c r="B22" s="38" t="inlineStr">
        <is>
          <t>חובה (9M)</t>
        </is>
      </c>
      <c r="C22" s="41" t="n">
        <v>1343</v>
      </c>
      <c r="D22" s="39" t="n">
        <v>46418</v>
      </c>
      <c r="E22" s="38" t="n"/>
      <c r="F22" s="38" t="n"/>
      <c r="G22" s="38" t="n"/>
      <c r="H22" s="38" t="n"/>
      <c r="I22" s="38" t="n"/>
      <c r="J22" s="38" t="n"/>
      <c r="K22" s="38" t="n"/>
      <c r="L22" s="38" t="n"/>
      <c r="M22" s="38" t="n"/>
      <c r="N22" s="38" t="n"/>
      <c r="O22" s="38" t="n"/>
      <c r="P22" s="38" t="n"/>
      <c r="Q22" s="38" t="n"/>
      <c r="R22" s="38" t="n"/>
    </row>
    <row r="23" ht="15" customHeight="1">
      <c r="B23" s="40" t="inlineStr">
        <is>
          <t>מקיף (9M)</t>
        </is>
      </c>
      <c r="C23" s="44" t="n">
        <v>1516</v>
      </c>
      <c r="D23" s="45" t="n">
        <v>46418</v>
      </c>
      <c r="E23" s="40" t="n"/>
      <c r="F23" s="40" t="n"/>
      <c r="G23" s="40" t="n"/>
      <c r="H23" s="40" t="n"/>
      <c r="I23" s="40" t="n"/>
      <c r="J23" s="40" t="n"/>
      <c r="K23" s="40" t="n"/>
      <c r="L23" s="40" t="n"/>
      <c r="M23" s="40" t="n"/>
      <c r="N23" s="40" t="n"/>
      <c r="O23" s="40" t="n"/>
      <c r="P23" s="40" t="n"/>
      <c r="Q23" s="40" t="n"/>
      <c r="R23" s="40" t="n"/>
    </row>
    <row r="24" ht="15" customHeight="1"/>
    <row r="25" ht="15.75" customHeight="1">
      <c r="A25" s="40" t="inlineStr">
        <is>
          <t>קופת גמל להשקעה</t>
        </is>
      </c>
      <c r="B25" s="40" t="n"/>
      <c r="C25" s="40" t="n"/>
      <c r="D25" s="40" t="n"/>
      <c r="E25" s="40" t="n"/>
      <c r="F25" s="45" t="n">
        <v>45131</v>
      </c>
      <c r="G25" s="45" t="n">
        <v>45713</v>
      </c>
      <c r="H25" s="45" t="n">
        <v>45801</v>
      </c>
      <c r="I25" s="40" t="n"/>
      <c r="J25" s="40" t="n"/>
      <c r="K25" s="40" t="n"/>
      <c r="L25" s="40" t="n"/>
      <c r="M25" s="40" t="n"/>
      <c r="N25" s="40" t="n"/>
      <c r="O25" s="40" t="n"/>
      <c r="P25" s="40" t="n"/>
      <c r="Q25" s="40" t="n"/>
      <c r="R25" s="40" t="n"/>
    </row>
    <row r="26" ht="15" customHeight="1">
      <c r="A26" s="38" t="inlineStr">
        <is>
          <t>תומר</t>
        </is>
      </c>
      <c r="B26" s="38" t="inlineStr">
        <is>
          <t>הפניקס גמל להשקעה מניות פאסיבי 7907</t>
        </is>
      </c>
      <c r="C26" s="38" t="n"/>
      <c r="D26" s="38" t="n"/>
      <c r="E26" s="42" t="n">
        <v>0.65</v>
      </c>
      <c r="F26" s="41" t="n">
        <v>23111.25</v>
      </c>
      <c r="G26" s="38" t="n"/>
      <c r="H26" s="41" t="n">
        <v>30575</v>
      </c>
      <c r="I26" s="38" t="n"/>
      <c r="J26" s="38" t="n"/>
      <c r="K26" s="38" t="n"/>
      <c r="L26" s="38" t="n"/>
      <c r="M26" s="38" t="n"/>
      <c r="N26" s="38" t="n"/>
      <c r="O26" s="38" t="n"/>
      <c r="P26" s="38" t="n"/>
      <c r="Q26" s="38" t="n"/>
      <c r="R26" s="38" t="n"/>
    </row>
    <row r="27" ht="15" customHeight="1">
      <c r="A27" s="40" t="inlineStr">
        <is>
          <t>נטע</t>
        </is>
      </c>
      <c r="B27" s="40" t="inlineStr">
        <is>
          <t>הפניקס גמל להשקעה מניות פאסיבי 7907</t>
        </is>
      </c>
      <c r="C27" s="40" t="n"/>
      <c r="D27" s="40" t="n"/>
      <c r="E27" s="43" t="n">
        <v>0.65</v>
      </c>
      <c r="F27" s="44" t="n">
        <v>17671.04</v>
      </c>
      <c r="G27" s="44" t="n">
        <v>23931</v>
      </c>
      <c r="H27" s="44" t="n">
        <v>23378</v>
      </c>
      <c r="I27" s="40" t="n"/>
      <c r="J27" s="40" t="n"/>
      <c r="K27" s="40" t="n"/>
      <c r="L27" s="40" t="n"/>
      <c r="M27" s="40" t="n"/>
      <c r="N27" s="40" t="n"/>
      <c r="O27" s="40" t="n"/>
      <c r="P27" s="40" t="n"/>
      <c r="Q27" s="40" t="n"/>
      <c r="R27" s="40" t="n"/>
    </row>
    <row r="28" ht="15" customHeight="1"/>
    <row r="29" ht="15.75" customHeight="1">
      <c r="A29" s="40" t="inlineStr">
        <is>
          <t>חיסכון לכל ילד</t>
        </is>
      </c>
      <c r="B29" s="40" t="n"/>
      <c r="C29" s="40" t="n"/>
      <c r="D29" s="40" t="n"/>
      <c r="E29" s="40" t="n"/>
      <c r="F29" s="45" t="n">
        <v>45107</v>
      </c>
      <c r="G29" s="45" t="n">
        <v>45317</v>
      </c>
      <c r="H29" s="40" t="n"/>
      <c r="I29" s="40" t="n"/>
      <c r="J29" s="40" t="n"/>
      <c r="K29" s="40" t="n"/>
      <c r="L29" s="40" t="n"/>
      <c r="M29" s="40" t="n"/>
      <c r="N29" s="40" t="n"/>
      <c r="O29" s="40" t="n"/>
      <c r="P29" s="40" t="n"/>
      <c r="Q29" s="40" t="n"/>
      <c r="R29" s="40" t="n"/>
    </row>
    <row r="30" ht="15" customHeight="1">
      <c r="A30" s="38" t="inlineStr">
        <is>
          <t>תומר</t>
        </is>
      </c>
      <c r="B30" s="38" t="inlineStr">
        <is>
          <t>איניפנטי חיסכון לילד חוסכים המעדיפים סיכון מוגבר 11373</t>
        </is>
      </c>
      <c r="C30" s="38" t="n"/>
      <c r="D30" s="38" t="n"/>
      <c r="E30" s="42" t="n">
        <v>0.23</v>
      </c>
      <c r="F30" s="41" t="n">
        <v>10768.42</v>
      </c>
      <c r="G30" s="41" t="n">
        <v>11900</v>
      </c>
      <c r="H30" s="38" t="n"/>
      <c r="I30" s="38" t="n"/>
      <c r="J30" s="38" t="n"/>
      <c r="K30" s="38" t="n"/>
      <c r="L30" s="38" t="n"/>
      <c r="M30" s="38" t="n"/>
      <c r="N30" s="38" t="n"/>
      <c r="O30" s="38" t="n"/>
      <c r="P30" s="38" t="n"/>
      <c r="Q30" s="38" t="n"/>
      <c r="R30" s="38" t="n"/>
    </row>
    <row r="31" ht="15" customHeight="1">
      <c r="A31" s="40" t="inlineStr">
        <is>
          <t>נטע</t>
        </is>
      </c>
      <c r="B31" s="40" t="inlineStr">
        <is>
          <t>איניפנטי חיסכון לילד חוסכים המעדיפים סיכון מוגבר 11373</t>
        </is>
      </c>
      <c r="C31" s="40" t="n"/>
      <c r="D31" s="40" t="n"/>
      <c r="E31" s="43" t="n">
        <v>0.23</v>
      </c>
      <c r="F31" s="44" t="n">
        <v>9605.379999999999</v>
      </c>
      <c r="G31" s="44" t="n">
        <v>10744.8</v>
      </c>
      <c r="H31" s="40" t="n"/>
      <c r="I31" s="40" t="n"/>
      <c r="J31" s="40" t="n"/>
      <c r="K31" s="40" t="n"/>
      <c r="L31" s="40" t="n"/>
      <c r="M31" s="40" t="n"/>
      <c r="N31" s="40" t="n"/>
      <c r="O31" s="40" t="n"/>
      <c r="P31" s="40" t="n"/>
      <c r="Q31" s="40" t="n"/>
      <c r="R31" s="40" t="n"/>
    </row>
    <row r="32" ht="15" customHeight="1"/>
    <row r="33" ht="15" customHeight="1"/>
    <row r="34" ht="15" customHeight="1">
      <c r="A34" s="38" t="n"/>
      <c r="B34" s="38" t="n"/>
      <c r="C34" s="38" t="inlineStr">
        <is>
          <t>סיכום חיובים חודשי (מאומת)</t>
        </is>
      </c>
      <c r="D34" s="38" t="n"/>
      <c r="E34" s="38" t="n"/>
      <c r="F34" s="38" t="n"/>
      <c r="G34" s="38" t="n"/>
      <c r="H34" s="38" t="n"/>
      <c r="I34" s="38" t="n"/>
      <c r="J34" s="38" t="n"/>
      <c r="K34" s="38" t="n"/>
      <c r="L34" s="38" t="n"/>
      <c r="M34" s="38" t="n"/>
      <c r="N34" s="38" t="n"/>
      <c r="O34" s="38" t="n"/>
      <c r="P34" s="38" t="n"/>
      <c r="Q34" s="38" t="n"/>
      <c r="R34" s="38" t="n"/>
    </row>
    <row r="35" ht="15" customHeight="1">
      <c r="A35" s="40" t="n"/>
      <c r="B35" s="40" t="n"/>
      <c r="C35" s="40" t="inlineStr">
        <is>
          <t>הפניקס חיים ובריאות</t>
        </is>
      </c>
      <c r="D35" s="43" t="n">
        <v>104</v>
      </c>
      <c r="E35" s="45" t="n">
        <v>45962</v>
      </c>
      <c r="F35" s="40" t="inlineStr">
        <is>
          <t>מטרייה ביטוחית</t>
        </is>
      </c>
      <c r="G35" s="40" t="n"/>
      <c r="H35" s="40" t="n"/>
      <c r="I35" s="40" t="n"/>
      <c r="J35" s="40" t="n"/>
      <c r="K35" s="40" t="n"/>
      <c r="L35" s="40" t="n"/>
      <c r="M35" s="40" t="n"/>
      <c r="N35" s="40" t="n"/>
      <c r="O35" s="40" t="n"/>
      <c r="P35" s="40" t="n"/>
      <c r="Q35" s="40" t="n"/>
      <c r="R35" s="40" t="n"/>
    </row>
    <row r="36" ht="15" customHeight="1">
      <c r="A36" s="38" t="n"/>
      <c r="B36" s="38" t="n"/>
      <c r="C36" s="38" t="inlineStr">
        <is>
          <t>כלל רכב/דירה/עסק</t>
        </is>
      </c>
      <c r="D36" s="42" t="n">
        <v>124.83</v>
      </c>
      <c r="E36" s="39" t="n">
        <v>45962</v>
      </c>
      <c r="F36" s="38" t="inlineStr">
        <is>
          <t>משכנתא-ביטוח מבנה</t>
        </is>
      </c>
      <c r="G36" s="38" t="n"/>
      <c r="H36" s="38" t="n"/>
      <c r="I36" s="38" t="n"/>
      <c r="J36" s="38" t="n"/>
      <c r="K36" s="38" t="n"/>
      <c r="L36" s="38" t="n"/>
      <c r="M36" s="38" t="n"/>
      <c r="N36" s="38" t="n"/>
      <c r="O36" s="38" t="n"/>
      <c r="P36" s="38" t="n"/>
      <c r="Q36" s="38" t="n"/>
      <c r="R36" s="38" t="n"/>
    </row>
    <row r="37" ht="15" customHeight="1">
      <c r="A37" s="40" t="n"/>
      <c r="B37" s="40" t="n"/>
      <c r="C37" s="40" t="inlineStr">
        <is>
          <t>כללב.בריאותה.ק</t>
        </is>
      </c>
      <c r="D37" s="43" t="n">
        <v>194.06</v>
      </c>
      <c r="E37" s="45" t="n">
        <v>45962</v>
      </c>
      <c r="F37" s="40" t="inlineStr">
        <is>
          <t>קולקטיב עבודה</t>
        </is>
      </c>
      <c r="G37" s="40" t="n"/>
      <c r="H37" s="40" t="n"/>
      <c r="I37" s="40" t="n"/>
      <c r="J37" s="40" t="n"/>
      <c r="K37" s="40" t="n"/>
      <c r="L37" s="40" t="n"/>
      <c r="M37" s="40" t="n"/>
      <c r="N37" s="40" t="n"/>
      <c r="O37" s="40" t="n"/>
      <c r="P37" s="40" t="n"/>
      <c r="Q37" s="40" t="n"/>
      <c r="R37" s="40" t="n"/>
    </row>
    <row r="38" ht="15" customHeight="1">
      <c r="A38" s="38" t="n"/>
      <c r="B38" s="38" t="n"/>
      <c r="C38" s="38" t="inlineStr">
        <is>
          <t>מגדל חיים/בריאות</t>
        </is>
      </c>
      <c r="D38" s="42" t="n">
        <v>38.92</v>
      </c>
      <c r="E38" s="39" t="n">
        <v>45962</v>
      </c>
      <c r="F38" s="38" t="inlineStr">
        <is>
          <t>תומר ונטע מחלות קשות</t>
        </is>
      </c>
      <c r="G38" s="38" t="n"/>
      <c r="H38" s="38" t="n"/>
      <c r="I38" s="38" t="n"/>
      <c r="J38" s="38" t="n"/>
      <c r="K38" s="38" t="n"/>
      <c r="L38" s="38" t="n"/>
      <c r="M38" s="38" t="n"/>
      <c r="N38" s="38" t="n"/>
      <c r="O38" s="38" t="n"/>
      <c r="P38" s="38" t="n"/>
      <c r="Q38" s="38" t="n"/>
      <c r="R38" s="38" t="n"/>
    </row>
    <row r="39" ht="15" customHeight="1">
      <c r="A39" s="40" t="n"/>
      <c r="B39" s="40" t="n"/>
      <c r="C39" s="40" t="inlineStr">
        <is>
          <t>איילון ביטוח חיים ובריאות</t>
        </is>
      </c>
      <c r="D39" s="40" t="inlineStr">
        <is>
          <t>(81.65 5/24-5/2025) 101.7</t>
        </is>
      </c>
      <c r="E39" s="45" t="n">
        <v>45962</v>
      </c>
      <c r="F39" s="40" t="inlineStr">
        <is>
          <t>משכנתא-ביטוח חיים</t>
        </is>
      </c>
      <c r="G39" s="40" t="n"/>
      <c r="H39" s="40" t="n"/>
      <c r="I39" s="40" t="n"/>
      <c r="J39" s="40" t="n"/>
      <c r="K39" s="40" t="n"/>
      <c r="L39" s="40" t="n"/>
      <c r="M39" s="40" t="n"/>
      <c r="N39" s="40" t="n"/>
      <c r="O39" s="40" t="n"/>
      <c r="P39" s="40" t="n"/>
      <c r="Q39" s="40" t="n"/>
      <c r="R39" s="40" t="n"/>
    </row>
    <row r="40" ht="15" customHeight="1">
      <c r="A40" s="38" t="n"/>
      <c r="B40" s="38" t="n"/>
      <c r="C40" s="38" t="inlineStr">
        <is>
          <t xml:space="preserve">הראל ביטוח בריאות </t>
        </is>
      </c>
      <c r="D40" s="42" t="n">
        <v>44.9</v>
      </c>
      <c r="E40" s="39" t="n">
        <v>45962</v>
      </c>
      <c r="F40" s="38" t="inlineStr">
        <is>
          <t>תאונות אישיות</t>
        </is>
      </c>
      <c r="G40" s="38" t="n"/>
      <c r="H40" s="38" t="n"/>
      <c r="I40" s="38" t="n"/>
      <c r="J40" s="38" t="n"/>
      <c r="K40" s="38" t="n"/>
      <c r="L40" s="38" t="n"/>
      <c r="M40" s="38" t="n"/>
      <c r="N40" s="38" t="n"/>
      <c r="O40" s="38" t="n"/>
      <c r="P40" s="38" t="n"/>
      <c r="Q40" s="38" t="n"/>
      <c r="R40" s="38" t="n"/>
    </row>
    <row r="41" ht="15" customHeight="1">
      <c r="A41" s="40" t="n"/>
      <c r="B41" s="40" t="n"/>
      <c r="C41" s="40" t="inlineStr">
        <is>
          <t>כללית מושלם</t>
        </is>
      </c>
      <c r="D41" s="43" t="n">
        <v>143.9</v>
      </c>
      <c r="E41" s="40" t="inlineStr">
        <is>
          <t>חיוב אצל יערה</t>
        </is>
      </c>
      <c r="F41" s="40" t="inlineStr">
        <is>
          <t>מושלם</t>
        </is>
      </c>
      <c r="G41" s="40" t="n"/>
      <c r="H41" s="40" t="n"/>
      <c r="I41" s="40" t="n"/>
      <c r="J41" s="40" t="n"/>
      <c r="K41" s="40" t="n"/>
      <c r="L41" s="40" t="n"/>
      <c r="M41" s="40" t="n"/>
      <c r="N41" s="40" t="n"/>
      <c r="O41" s="40" t="n"/>
      <c r="P41" s="40" t="n"/>
      <c r="Q41" s="40" t="n"/>
      <c r="R41" s="40" t="n"/>
    </row>
    <row r="42" ht="15" customHeight="1">
      <c r="A42" s="38" t="n"/>
      <c r="B42" s="38" t="n"/>
      <c r="C42" s="38" t="inlineStr">
        <is>
          <t>כללית סיעודי</t>
        </is>
      </c>
      <c r="D42" s="42" t="n">
        <v>135.86</v>
      </c>
      <c r="E42" s="38" t="inlineStr">
        <is>
          <t>חיוב אצל יערה</t>
        </is>
      </c>
      <c r="F42" s="38" t="inlineStr">
        <is>
          <t>סיעודי</t>
        </is>
      </c>
      <c r="G42" s="38" t="n"/>
      <c r="H42" s="38" t="n"/>
      <c r="I42" s="38" t="n"/>
      <c r="J42" s="38" t="n"/>
      <c r="K42" s="38" t="n"/>
      <c r="L42" s="38" t="n"/>
      <c r="M42" s="38" t="n"/>
      <c r="N42" s="38" t="n"/>
      <c r="O42" s="38" t="n"/>
      <c r="P42" s="38" t="n"/>
      <c r="Q42" s="38" t="n"/>
      <c r="R42" s="38" t="n"/>
    </row>
    <row r="43" ht="15" customHeight="1">
      <c r="A43" s="40" t="n"/>
      <c r="B43" s="40" t="n"/>
      <c r="C43" s="40" t="inlineStr">
        <is>
          <t>סה"כ</t>
        </is>
      </c>
      <c r="D43" s="43" t="n">
        <v>888.1700000000001</v>
      </c>
      <c r="E43" s="40" t="n"/>
      <c r="F43" s="40" t="n"/>
      <c r="G43" s="40" t="n"/>
      <c r="H43" s="40" t="n"/>
      <c r="I43" s="40" t="n"/>
      <c r="J43" s="40" t="n"/>
      <c r="K43" s="40" t="n"/>
      <c r="L43" s="40" t="n"/>
      <c r="M43" s="40" t="n"/>
      <c r="N43" s="40" t="n"/>
      <c r="O43" s="40" t="n"/>
      <c r="P43" s="40" t="n"/>
      <c r="Q43" s="40" t="n"/>
      <c r="R43" s="40" t="n"/>
    </row>
  </sheetData>
  <mergeCells count="5">
    <mergeCell ref="A22:A23"/>
    <mergeCell ref="A15:A17"/>
    <mergeCell ref="D4:E4"/>
    <mergeCell ref="A19:A20"/>
    <mergeCell ref="A9:A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6"/>
  <sheetViews>
    <sheetView rightToLeft="1" workbookViewId="0">
      <pane ySplit="1" topLeftCell="A2" activePane="bottomLeft" state="frozen"/>
      <selection pane="bottomLeft" activeCell="A1" sqref="A1"/>
    </sheetView>
  </sheetViews>
  <sheetFormatPr baseColWidth="8" defaultRowHeight="15"/>
  <cols>
    <col width="9.875" customWidth="1" min="3" max="3"/>
    <col width="9.875" customWidth="1" min="5" max="5"/>
  </cols>
  <sheetData>
    <row r="1" ht="15" customHeight="1">
      <c r="A1" s="40" t="n"/>
      <c r="B1" s="40" t="n"/>
      <c r="C1" s="46" t="inlineStr">
        <is>
          <t>יערה</t>
        </is>
      </c>
      <c r="D1" s="40" t="n"/>
      <c r="E1" s="40" t="n"/>
      <c r="F1" s="40" t="n"/>
      <c r="G1" s="40" t="n"/>
    </row>
    <row r="2" ht="15" customHeight="1">
      <c r="A2" s="38" t="n"/>
      <c r="B2" s="38" t="inlineStr">
        <is>
          <t>סכום הלוואה</t>
        </is>
      </c>
      <c r="C2" s="41" t="n">
        <v>66252</v>
      </c>
      <c r="D2" s="38" t="n"/>
      <c r="E2" s="38" t="n"/>
      <c r="F2" s="38" t="n"/>
      <c r="G2" s="38" t="n"/>
    </row>
    <row r="3" ht="15" customHeight="1">
      <c r="A3" s="40" t="n"/>
      <c r="B3" s="40" t="inlineStr">
        <is>
          <t>החזר משוער</t>
        </is>
      </c>
      <c r="C3" s="44" t="n">
        <v>1277</v>
      </c>
      <c r="D3" s="40" t="n"/>
      <c r="E3" s="40" t="n"/>
      <c r="F3" s="40" t="n"/>
      <c r="G3" s="40" t="n"/>
    </row>
    <row r="4" ht="15" customHeight="1">
      <c r="A4" s="38" t="n"/>
      <c r="B4" s="38" t="inlineStr">
        <is>
          <t xml:space="preserve">ריבית </t>
        </is>
      </c>
      <c r="C4" s="38" t="inlineStr">
        <is>
          <t>P-0.5%</t>
        </is>
      </c>
      <c r="D4" s="38" t="n"/>
      <c r="E4" s="38" t="n"/>
      <c r="F4" s="38" t="n"/>
      <c r="G4" s="38" t="n"/>
    </row>
    <row r="5" ht="15" customHeight="1">
      <c r="A5" s="40" t="n"/>
      <c r="B5" s="40" t="inlineStr">
        <is>
          <t>תאריך סיום</t>
        </is>
      </c>
      <c r="C5" s="45" t="n">
        <v>47027</v>
      </c>
      <c r="D5" s="40" t="n"/>
      <c r="E5" s="40" t="n"/>
      <c r="F5" s="40" t="n"/>
      <c r="G5" s="40" t="n"/>
    </row>
    <row r="6" ht="15" customHeight="1"/>
    <row r="7" ht="15" customHeight="1">
      <c r="A7" s="43" t="n">
        <v>1</v>
      </c>
      <c r="B7" s="45" t="n">
        <v>45235</v>
      </c>
      <c r="C7" s="44" t="n">
        <v>1372.38</v>
      </c>
      <c r="D7" s="40" t="n"/>
      <c r="E7" s="40" t="n"/>
      <c r="F7" s="40" t="n"/>
      <c r="G7" s="40" t="n"/>
    </row>
    <row r="8" ht="15" customHeight="1">
      <c r="A8" s="42" t="n">
        <v>2</v>
      </c>
      <c r="B8" s="39" t="n">
        <v>45265</v>
      </c>
      <c r="C8" s="41" t="n">
        <v>1277.15</v>
      </c>
      <c r="D8" s="38" t="n"/>
      <c r="E8" s="38" t="n"/>
      <c r="F8" s="38" t="n"/>
      <c r="G8" s="38" t="n"/>
    </row>
    <row r="9" ht="15" customHeight="1">
      <c r="A9" s="43" t="n">
        <v>3</v>
      </c>
      <c r="B9" s="45" t="n">
        <v>45296</v>
      </c>
      <c r="C9" s="44" t="n">
        <v>1280.46</v>
      </c>
      <c r="D9" s="40" t="n"/>
      <c r="E9" s="40" t="n"/>
      <c r="F9" s="40" t="n"/>
      <c r="G9" s="40" t="n"/>
    </row>
    <row r="10" ht="15" customHeight="1">
      <c r="A10" s="42" t="n">
        <v>4</v>
      </c>
      <c r="B10" s="39" t="n">
        <v>45327</v>
      </c>
      <c r="C10" s="38" t="n"/>
      <c r="D10" s="38" t="n"/>
      <c r="E10" s="38" t="n"/>
      <c r="F10" s="38" t="n"/>
      <c r="G10" s="38" t="n"/>
    </row>
    <row r="11" ht="15" customHeight="1">
      <c r="A11" s="43" t="n">
        <v>5</v>
      </c>
      <c r="B11" s="45" t="n">
        <v>45356</v>
      </c>
      <c r="C11" s="40" t="n"/>
      <c r="D11" s="40" t="n"/>
      <c r="E11" s="40" t="n"/>
      <c r="F11" s="40" t="n"/>
      <c r="G11" s="40" t="n"/>
    </row>
    <row r="12" ht="15" customHeight="1">
      <c r="A12" s="42" t="n">
        <v>6</v>
      </c>
      <c r="B12" s="39" t="n">
        <v>45387</v>
      </c>
      <c r="C12" s="41" t="n">
        <v>1269</v>
      </c>
      <c r="D12" s="38" t="n"/>
      <c r="E12" s="38" t="n"/>
      <c r="F12" s="38" t="n"/>
      <c r="G12" s="38" t="n"/>
    </row>
    <row r="13" ht="15" customHeight="1">
      <c r="A13" s="43" t="n">
        <v>7</v>
      </c>
      <c r="B13" s="45" t="n">
        <v>45417</v>
      </c>
      <c r="C13" s="44" t="n">
        <v>1269</v>
      </c>
      <c r="D13" s="40" t="n"/>
      <c r="E13" s="40" t="n"/>
      <c r="F13" s="40" t="n"/>
      <c r="G13" s="40" t="n"/>
    </row>
    <row r="14" ht="15" customHeight="1">
      <c r="A14" s="42" t="n">
        <v>8</v>
      </c>
      <c r="B14" s="39" t="n">
        <v>45448</v>
      </c>
      <c r="C14" s="41" t="n">
        <v>1269</v>
      </c>
      <c r="D14" s="38" t="n"/>
      <c r="E14" s="38" t="n"/>
      <c r="F14" s="38" t="n"/>
      <c r="G14" s="38" t="n"/>
    </row>
    <row r="15" ht="15" customHeight="1">
      <c r="A15" s="43" t="n">
        <v>9</v>
      </c>
      <c r="B15" s="45" t="n">
        <v>45478</v>
      </c>
      <c r="C15" s="44" t="n">
        <v>1269</v>
      </c>
      <c r="D15" s="40" t="n"/>
      <c r="E15" s="40" t="n"/>
      <c r="F15" s="40" t="n"/>
      <c r="G15" s="40" t="n"/>
    </row>
    <row r="16" ht="15" customHeight="1">
      <c r="A16" s="42" t="n">
        <v>10</v>
      </c>
      <c r="B16" s="39" t="n">
        <v>45509</v>
      </c>
      <c r="C16" s="41" t="n">
        <v>1269</v>
      </c>
      <c r="D16" s="38" t="n"/>
      <c r="E16" s="38" t="n"/>
      <c r="F16" s="38" t="n"/>
      <c r="G16" s="38" t="n"/>
    </row>
    <row r="17" ht="15" customHeight="1">
      <c r="A17" s="43" t="n">
        <v>11</v>
      </c>
      <c r="B17" s="45" t="n">
        <v>45540</v>
      </c>
      <c r="C17" s="44" t="n">
        <v>1269</v>
      </c>
      <c r="D17" s="40" t="n"/>
      <c r="E17" s="40" t="n"/>
      <c r="F17" s="40" t="n"/>
      <c r="G17" s="40" t="n"/>
    </row>
    <row r="18" ht="15" customHeight="1">
      <c r="A18" s="42" t="n">
        <v>12</v>
      </c>
      <c r="B18" s="39" t="n">
        <v>45570</v>
      </c>
      <c r="C18" s="41" t="n">
        <v>1269</v>
      </c>
      <c r="D18" s="38" t="n"/>
      <c r="E18" s="38" t="n"/>
      <c r="F18" s="38" t="n"/>
      <c r="G18" s="38" t="n"/>
    </row>
    <row r="19" ht="15" customHeight="1">
      <c r="A19" s="43" t="n">
        <v>13</v>
      </c>
      <c r="B19" s="45" t="n">
        <v>45601</v>
      </c>
      <c r="C19" s="44" t="n">
        <v>1269</v>
      </c>
      <c r="D19" s="40" t="n"/>
      <c r="E19" s="40" t="n"/>
      <c r="F19" s="40" t="n"/>
      <c r="G19" s="40" t="n"/>
    </row>
    <row r="20" ht="15" customHeight="1">
      <c r="A20" s="42" t="n">
        <v>14</v>
      </c>
      <c r="B20" s="39" t="n">
        <v>45631</v>
      </c>
      <c r="C20" s="41" t="n">
        <v>1269</v>
      </c>
      <c r="D20" s="38" t="n"/>
      <c r="E20" s="38" t="n"/>
      <c r="F20" s="38" t="n"/>
      <c r="G20" s="38" t="n"/>
    </row>
    <row r="21" ht="15" customHeight="1">
      <c r="A21" s="43" t="n">
        <v>15</v>
      </c>
      <c r="B21" s="45" t="n">
        <v>45662</v>
      </c>
      <c r="C21" s="44" t="n">
        <v>1269</v>
      </c>
      <c r="D21" s="40" t="n"/>
      <c r="E21" s="40" t="n"/>
      <c r="F21" s="40" t="n"/>
      <c r="G21" s="40" t="n"/>
    </row>
    <row r="22" ht="15" customHeight="1">
      <c r="A22" s="38" t="n"/>
      <c r="B22" s="39" t="n">
        <v>45693</v>
      </c>
      <c r="C22" s="41" t="n">
        <v>1269</v>
      </c>
      <c r="D22" s="38" t="n"/>
      <c r="E22" s="38" t="n"/>
      <c r="F22" s="38" t="n"/>
      <c r="G22" s="38" t="n"/>
    </row>
    <row r="23" ht="15" customHeight="1">
      <c r="A23" s="40" t="n"/>
      <c r="B23" s="45" t="n">
        <v>45732</v>
      </c>
      <c r="C23" s="44" t="n">
        <v>1269</v>
      </c>
      <c r="D23" s="40" t="n"/>
      <c r="E23" s="40" t="n"/>
      <c r="F23" s="40" t="n"/>
      <c r="G23" s="40" t="n"/>
    </row>
    <row r="24" ht="15" customHeight="1">
      <c r="A24" s="38" t="n"/>
      <c r="B24" s="39" t="n">
        <v>45752</v>
      </c>
      <c r="C24" s="41" t="n">
        <v>1269</v>
      </c>
      <c r="D24" s="38" t="n"/>
      <c r="E24" s="38" t="n"/>
      <c r="F24" s="38" t="n"/>
      <c r="G24" s="38" t="n"/>
    </row>
    <row r="25" ht="15" customHeight="1">
      <c r="A25" s="40" t="n"/>
      <c r="B25" s="45" t="n">
        <v>45782</v>
      </c>
      <c r="C25" s="44" t="n">
        <v>1269</v>
      </c>
      <c r="D25" s="40" t="n"/>
      <c r="E25" s="40" t="n"/>
      <c r="F25" s="40" t="n"/>
      <c r="G25" s="40" t="n"/>
    </row>
    <row r="26" ht="15" customHeight="1">
      <c r="A26" s="38" t="n"/>
      <c r="B26" s="39" t="n">
        <v>45813</v>
      </c>
      <c r="C26" s="38" t="n"/>
      <c r="D26" s="38" t="n"/>
      <c r="E26" s="38" t="n"/>
      <c r="F26" s="38" t="n"/>
      <c r="G26" s="38" t="n"/>
    </row>
    <row r="27" ht="15" customHeight="1">
      <c r="A27" s="40" t="n"/>
      <c r="B27" s="45" t="n">
        <v>45843</v>
      </c>
      <c r="C27" s="40" t="n"/>
      <c r="D27" s="40" t="n"/>
      <c r="E27" s="40" t="n"/>
      <c r="F27" s="40" t="n"/>
      <c r="G27" s="40" t="n"/>
    </row>
    <row r="28" ht="15" customHeight="1">
      <c r="A28" s="38" t="n"/>
      <c r="B28" s="39" t="n">
        <v>45874</v>
      </c>
      <c r="C28" s="38" t="n"/>
      <c r="D28" s="38" t="n"/>
      <c r="E28" s="38" t="n"/>
      <c r="F28" s="38" t="n"/>
      <c r="G28" s="38" t="n"/>
    </row>
    <row r="29" ht="15" customHeight="1">
      <c r="A29" s="40" t="n"/>
      <c r="B29" s="45" t="n">
        <v>45905</v>
      </c>
      <c r="C29" s="40" t="n"/>
      <c r="D29" s="40" t="n"/>
      <c r="E29" s="40" t="n"/>
      <c r="F29" s="40" t="n"/>
      <c r="G29" s="40" t="n"/>
    </row>
    <row r="30" ht="15" customHeight="1">
      <c r="A30" s="38" t="n"/>
      <c r="B30" s="39" t="n">
        <v>45935</v>
      </c>
      <c r="C30" s="38" t="n"/>
      <c r="D30" s="38" t="n"/>
      <c r="E30" s="38" t="n"/>
      <c r="F30" s="38" t="n"/>
      <c r="G30" s="38" t="n"/>
    </row>
    <row r="31" ht="15" customHeight="1">
      <c r="A31" s="40" t="n"/>
      <c r="B31" s="45" t="n">
        <v>45966</v>
      </c>
      <c r="C31" s="40" t="n"/>
      <c r="D31" s="40" t="n"/>
      <c r="E31" s="40" t="n"/>
      <c r="F31" s="40" t="n"/>
      <c r="G31" s="40" t="n"/>
    </row>
    <row r="32" ht="15" customHeight="1">
      <c r="A32" s="38" t="n"/>
      <c r="B32" s="39" t="n">
        <v>45996</v>
      </c>
      <c r="C32" s="38" t="n"/>
      <c r="D32" s="38" t="n"/>
      <c r="E32" s="38" t="n"/>
      <c r="F32" s="38" t="n"/>
      <c r="G32" s="38" t="n"/>
    </row>
    <row r="33" ht="15" customHeight="1">
      <c r="A33" s="40" t="n"/>
      <c r="B33" s="45" t="n">
        <v>46027</v>
      </c>
      <c r="C33" s="40" t="n"/>
      <c r="D33" s="40" t="n"/>
      <c r="E33" s="40" t="n"/>
      <c r="F33" s="40" t="n"/>
      <c r="G33" s="40" t="n"/>
    </row>
    <row r="34" ht="15" customHeight="1">
      <c r="A34" s="38" t="n"/>
      <c r="B34" s="39" t="n">
        <v>46058</v>
      </c>
      <c r="C34" s="38" t="n"/>
      <c r="D34" s="38" t="n"/>
      <c r="E34" s="38" t="n"/>
      <c r="F34" s="38" t="n"/>
      <c r="G34" s="38" t="n"/>
    </row>
    <row r="35" ht="15" customHeight="1">
      <c r="A35" s="40" t="n"/>
      <c r="B35" s="45" t="n">
        <v>46086</v>
      </c>
      <c r="C35" s="40" t="n"/>
      <c r="D35" s="40" t="n"/>
      <c r="E35" s="40" t="n"/>
      <c r="F35" s="40" t="n"/>
      <c r="G35" s="40" t="n"/>
    </row>
    <row r="36" ht="15" customHeight="1">
      <c r="A36" s="38" t="n"/>
      <c r="B36" s="39" t="n">
        <v>46117</v>
      </c>
      <c r="C36" s="38" t="n"/>
      <c r="D36" s="38" t="n"/>
      <c r="E36" s="38" t="n"/>
      <c r="F36" s="38" t="n"/>
      <c r="G36" s="38" t="n"/>
    </row>
    <row r="37" ht="15" customHeight="1">
      <c r="A37" s="40" t="n"/>
      <c r="B37" s="45" t="n">
        <v>46147</v>
      </c>
      <c r="C37" s="40" t="n"/>
      <c r="D37" s="40" t="n"/>
      <c r="E37" s="40" t="n"/>
      <c r="F37" s="40" t="n"/>
      <c r="G37" s="40" t="n"/>
    </row>
    <row r="38" ht="15" customHeight="1">
      <c r="A38" s="38" t="n"/>
      <c r="B38" s="39" t="n">
        <v>46178</v>
      </c>
      <c r="C38" s="38" t="n"/>
      <c r="D38" s="38" t="n"/>
      <c r="E38" s="38" t="n"/>
      <c r="F38" s="38" t="n"/>
      <c r="G38" s="38" t="n"/>
    </row>
    <row r="39" ht="15" customHeight="1">
      <c r="A39" s="40" t="n"/>
      <c r="B39" s="45" t="n">
        <v>46208</v>
      </c>
      <c r="C39" s="40" t="n"/>
      <c r="D39" s="40" t="n"/>
      <c r="E39" s="40" t="n"/>
      <c r="F39" s="40" t="n"/>
      <c r="G39" s="40" t="n"/>
    </row>
    <row r="40" ht="15" customHeight="1">
      <c r="A40" s="38" t="n"/>
      <c r="B40" s="39" t="n">
        <v>46239</v>
      </c>
      <c r="C40" s="38" t="n"/>
      <c r="D40" s="38" t="n"/>
      <c r="E40" s="38" t="n"/>
      <c r="F40" s="38" t="n"/>
      <c r="G40" s="38" t="n"/>
    </row>
    <row r="41" ht="15" customHeight="1">
      <c r="A41" s="40" t="n"/>
      <c r="B41" s="45" t="n">
        <v>46270</v>
      </c>
      <c r="C41" s="40" t="n"/>
      <c r="D41" s="40" t="n"/>
      <c r="E41" s="40" t="n"/>
      <c r="F41" s="40" t="n"/>
      <c r="G41" s="40" t="n"/>
    </row>
    <row r="42" ht="15" customHeight="1">
      <c r="A42" s="38" t="n"/>
      <c r="B42" s="39" t="n">
        <v>46300</v>
      </c>
      <c r="C42" s="38" t="n"/>
      <c r="D42" s="38" t="n"/>
      <c r="E42" s="38" t="n"/>
      <c r="F42" s="38" t="n"/>
      <c r="G42" s="38" t="n"/>
    </row>
    <row r="43" ht="15" customHeight="1">
      <c r="A43" s="40" t="n"/>
      <c r="B43" s="45" t="n">
        <v>46331</v>
      </c>
      <c r="C43" s="40" t="n"/>
      <c r="D43" s="40" t="n"/>
      <c r="E43" s="40" t="n"/>
      <c r="F43" s="40" t="n"/>
      <c r="G43" s="40" t="n"/>
    </row>
    <row r="44" ht="15" customHeight="1">
      <c r="A44" s="38" t="n"/>
      <c r="B44" s="39" t="n">
        <v>46361</v>
      </c>
      <c r="C44" s="38" t="n"/>
      <c r="D44" s="38" t="n"/>
      <c r="E44" s="38" t="n"/>
      <c r="F44" s="38" t="n"/>
      <c r="G44" s="38" t="n"/>
    </row>
    <row r="45" ht="15" customHeight="1">
      <c r="A45" s="40" t="n"/>
      <c r="B45" s="45" t="n">
        <v>46392</v>
      </c>
      <c r="C45" s="40" t="n"/>
      <c r="D45" s="40" t="n"/>
      <c r="E45" s="40" t="n"/>
      <c r="F45" s="40" t="n"/>
      <c r="G45" s="40" t="n"/>
    </row>
    <row r="46" ht="15" customHeight="1">
      <c r="A46" s="38" t="n"/>
      <c r="B46" s="39" t="n">
        <v>46423</v>
      </c>
      <c r="C46" s="38" t="n"/>
      <c r="D46" s="38" t="n"/>
      <c r="E46" s="38" t="n"/>
      <c r="F46" s="38" t="n"/>
      <c r="G46" s="38" t="n"/>
    </row>
    <row r="47" ht="15" customHeight="1">
      <c r="A47" s="40" t="n"/>
      <c r="B47" s="45" t="n">
        <v>46451</v>
      </c>
      <c r="C47" s="40" t="n"/>
      <c r="D47" s="40" t="n"/>
      <c r="E47" s="40" t="n"/>
      <c r="F47" s="40" t="n"/>
      <c r="G47" s="40" t="n"/>
    </row>
    <row r="48" ht="15" customHeight="1">
      <c r="A48" s="38" t="n"/>
      <c r="B48" s="39" t="n">
        <v>46482</v>
      </c>
      <c r="C48" s="38" t="n"/>
      <c r="D48" s="38" t="n"/>
      <c r="E48" s="38" t="n"/>
      <c r="F48" s="38" t="n"/>
      <c r="G48" s="38" t="n"/>
    </row>
    <row r="49" ht="15" customHeight="1">
      <c r="A49" s="40" t="n"/>
      <c r="B49" s="45" t="n">
        <v>46512</v>
      </c>
      <c r="C49" s="40" t="n"/>
      <c r="D49" s="40" t="n"/>
      <c r="E49" s="40" t="n"/>
      <c r="F49" s="40" t="n"/>
      <c r="G49" s="40" t="n"/>
    </row>
    <row r="50" ht="15" customHeight="1">
      <c r="A50" s="38" t="n"/>
      <c r="B50" s="39" t="n">
        <v>46543</v>
      </c>
      <c r="C50" s="38" t="n"/>
      <c r="D50" s="38" t="n"/>
      <c r="E50" s="38" t="n"/>
      <c r="F50" s="38" t="n"/>
      <c r="G50" s="38" t="n"/>
    </row>
    <row r="51" ht="15" customHeight="1">
      <c r="A51" s="40" t="n"/>
      <c r="B51" s="45" t="n">
        <v>46573</v>
      </c>
      <c r="C51" s="40" t="n"/>
      <c r="D51" s="40" t="n"/>
      <c r="E51" s="40" t="n"/>
      <c r="F51" s="40" t="n"/>
      <c r="G51" s="40" t="n"/>
    </row>
    <row r="52" ht="15" customHeight="1">
      <c r="A52" s="38" t="n"/>
      <c r="B52" s="39" t="n">
        <v>46604</v>
      </c>
      <c r="C52" s="38" t="n"/>
      <c r="D52" s="38" t="n"/>
      <c r="E52" s="38" t="n"/>
      <c r="F52" s="38" t="n"/>
      <c r="G52" s="38" t="n"/>
    </row>
    <row r="53" ht="15" customHeight="1">
      <c r="A53" s="40" t="n"/>
      <c r="B53" s="45" t="n">
        <v>46635</v>
      </c>
      <c r="C53" s="40" t="n"/>
      <c r="D53" s="40" t="n"/>
      <c r="E53" s="40" t="n"/>
      <c r="F53" s="40" t="n"/>
      <c r="G53" s="40" t="n"/>
    </row>
    <row r="54" ht="15" customHeight="1">
      <c r="A54" s="38" t="n"/>
      <c r="B54" s="39" t="n">
        <v>46665</v>
      </c>
      <c r="C54" s="38" t="n"/>
      <c r="D54" s="38" t="n"/>
      <c r="E54" s="38" t="n"/>
      <c r="F54" s="38" t="n"/>
      <c r="G54" s="38" t="n"/>
    </row>
    <row r="55" ht="15" customHeight="1">
      <c r="A55" s="40" t="n"/>
      <c r="B55" s="45" t="n">
        <v>46696</v>
      </c>
      <c r="C55" s="40" t="n"/>
      <c r="D55" s="40" t="n"/>
      <c r="E55" s="40" t="n"/>
      <c r="F55" s="40" t="n"/>
      <c r="G55" s="40" t="n"/>
    </row>
    <row r="56" ht="15" customHeight="1">
      <c r="A56" s="38" t="n"/>
      <c r="B56" s="39" t="n">
        <v>46726</v>
      </c>
      <c r="C56" s="38" t="n"/>
      <c r="D56" s="38" t="n"/>
      <c r="E56" s="38" t="n"/>
      <c r="F56" s="38" t="n"/>
      <c r="G56" s="38" t="n"/>
    </row>
    <row r="57" ht="15" customHeight="1">
      <c r="A57" s="40" t="n"/>
      <c r="B57" s="45" t="n">
        <v>46757</v>
      </c>
      <c r="C57" s="40" t="n"/>
      <c r="D57" s="40" t="n"/>
      <c r="E57" s="40" t="n"/>
      <c r="F57" s="40" t="n"/>
      <c r="G57" s="40" t="n"/>
    </row>
    <row r="58" ht="15" customHeight="1">
      <c r="A58" s="38" t="n"/>
      <c r="B58" s="39" t="n">
        <v>46788</v>
      </c>
      <c r="C58" s="38" t="n"/>
      <c r="D58" s="38" t="n"/>
      <c r="E58" s="38" t="n"/>
      <c r="F58" s="38" t="n"/>
      <c r="G58" s="38" t="n"/>
    </row>
    <row r="59" ht="15" customHeight="1">
      <c r="A59" s="40" t="n"/>
      <c r="B59" s="45" t="n">
        <v>46817</v>
      </c>
      <c r="C59" s="40" t="n"/>
      <c r="D59" s="40" t="n"/>
      <c r="E59" s="40" t="n"/>
      <c r="F59" s="40" t="n"/>
      <c r="G59" s="40" t="n"/>
    </row>
    <row r="60" ht="15" customHeight="1">
      <c r="A60" s="38" t="n"/>
      <c r="B60" s="39" t="n">
        <v>46848</v>
      </c>
      <c r="C60" s="38" t="n"/>
      <c r="D60" s="38" t="n"/>
      <c r="E60" s="38" t="n"/>
      <c r="F60" s="38" t="n"/>
      <c r="G60" s="38" t="n"/>
    </row>
    <row r="61" ht="15" customHeight="1">
      <c r="A61" s="40" t="n"/>
      <c r="B61" s="45" t="n">
        <v>46878</v>
      </c>
      <c r="C61" s="40" t="n"/>
      <c r="D61" s="40" t="n"/>
      <c r="E61" s="40" t="n"/>
      <c r="F61" s="40" t="n"/>
      <c r="G61" s="40" t="n"/>
    </row>
    <row r="62" ht="15" customHeight="1">
      <c r="A62" s="38" t="n"/>
      <c r="B62" s="39" t="n">
        <v>46909</v>
      </c>
      <c r="C62" s="38" t="n"/>
      <c r="D62" s="38" t="n"/>
      <c r="E62" s="38" t="n"/>
      <c r="F62" s="38" t="n"/>
      <c r="G62" s="38" t="n"/>
    </row>
    <row r="63" ht="15" customHeight="1">
      <c r="A63" s="40" t="n"/>
      <c r="B63" s="45" t="n">
        <v>46939</v>
      </c>
      <c r="C63" s="40" t="n"/>
      <c r="D63" s="40" t="n"/>
      <c r="E63" s="40" t="n"/>
      <c r="F63" s="40" t="n"/>
      <c r="G63" s="40" t="n"/>
    </row>
    <row r="64" ht="15" customHeight="1">
      <c r="A64" s="38" t="n"/>
      <c r="B64" s="39" t="n">
        <v>46970</v>
      </c>
      <c r="C64" s="38" t="n"/>
      <c r="D64" s="38" t="n"/>
      <c r="E64" s="38" t="n"/>
      <c r="F64" s="38" t="n"/>
      <c r="G64" s="38" t="n"/>
    </row>
    <row r="65" ht="15" customHeight="1">
      <c r="A65" s="40" t="n"/>
      <c r="B65" s="45" t="n">
        <v>47001</v>
      </c>
      <c r="C65" s="40" t="n"/>
      <c r="D65" s="40" t="n"/>
      <c r="E65" s="40" t="n"/>
      <c r="F65" s="40" t="n"/>
      <c r="G65" s="40" t="n"/>
    </row>
    <row r="66" ht="15" customHeight="1">
      <c r="A66" s="38" t="n"/>
      <c r="B66" s="39" t="n">
        <v>47031</v>
      </c>
      <c r="C66" s="38" t="n"/>
      <c r="D66" s="38" t="n"/>
      <c r="E66" s="38" t="n"/>
      <c r="F66" s="38" t="n"/>
      <c r="G66" s="38"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3"/>
  <sheetViews>
    <sheetView rightToLeft="1" workbookViewId="0">
      <pane ySplit="1" topLeftCell="A2" activePane="bottomLeft" state="frozen"/>
      <selection pane="bottomLeft" activeCell="A1" sqref="A1"/>
    </sheetView>
  </sheetViews>
  <sheetFormatPr baseColWidth="8" defaultRowHeight="15"/>
  <cols>
    <col width="5" customWidth="1" min="1" max="1"/>
    <col width="10.375" customWidth="1" min="2" max="2"/>
    <col width="11.875" customWidth="1" min="3" max="3"/>
    <col width="9.875" customWidth="1" min="4" max="4"/>
    <col width="17.75" customWidth="1" min="5" max="5"/>
    <col width="11.375" customWidth="1" min="6" max="6"/>
    <col width="9.125" customWidth="1" min="7" max="7"/>
    <col width="15.375" customWidth="1" min="8" max="8"/>
    <col width="9" customWidth="1" min="9" max="9"/>
    <col width="21.25" customWidth="1" min="10" max="10"/>
    <col width="9" customWidth="1" min="11" max="11"/>
    <col width="12.25" customWidth="1" min="14" max="14"/>
    <col width="10.375" customWidth="1" min="15" max="15"/>
    <col width="14.75" customWidth="1" min="16" max="16"/>
    <col width="11.25" customWidth="1" min="17" max="17"/>
    <col width="9" customWidth="1" min="18" max="18"/>
    <col width="32.5" customWidth="1" min="20" max="20"/>
    <col width="10.375" customWidth="1" min="21" max="21"/>
    <col width="32.5" customWidth="1" min="22" max="22"/>
    <col width="9" customWidth="1" min="23" max="23"/>
    <col width="9.875" customWidth="1" min="24" max="24"/>
    <col width="9" customWidth="1" min="25" max="25"/>
  </cols>
  <sheetData>
    <row r="1" ht="15" customHeight="1">
      <c r="A1" s="40" t="n"/>
      <c r="B1" s="40" t="n"/>
      <c r="C1" s="40" t="n"/>
      <c r="D1" s="40" t="n"/>
      <c r="E1" s="40" t="n"/>
      <c r="F1" s="40" t="n"/>
      <c r="G1" s="46" t="inlineStr">
        <is>
          <t>חודש</t>
        </is>
      </c>
      <c r="H1" s="46" t="inlineStr">
        <is>
          <t>סיבה</t>
        </is>
      </c>
      <c r="I1" s="46" t="inlineStr">
        <is>
          <t>הוצאה</t>
        </is>
      </c>
      <c r="J1" s="46" t="inlineStr">
        <is>
          <t>עד 1/11/25</t>
        </is>
      </c>
      <c r="K1" s="40" t="n"/>
      <c r="L1" s="46" t="inlineStr">
        <is>
          <t>אחרי 1/11/25</t>
        </is>
      </c>
      <c r="M1" s="40" t="n"/>
      <c r="N1" s="40" t="n"/>
      <c r="O1" s="40" t="n"/>
    </row>
    <row r="2" ht="15" customHeight="1">
      <c r="A2" s="38" t="n"/>
      <c r="B2" s="38" t="n"/>
      <c r="C2" s="38" t="inlineStr">
        <is>
          <t>מורן</t>
        </is>
      </c>
      <c r="D2" s="38" t="inlineStr">
        <is>
          <t>יערה</t>
        </is>
      </c>
      <c r="E2" s="38" t="n"/>
      <c r="F2" s="38" t="n"/>
      <c r="G2" s="42" t="n">
        <v>1</v>
      </c>
      <c r="H2" s="38" t="n"/>
      <c r="I2" s="38" t="n"/>
      <c r="J2" s="38" t="inlineStr">
        <is>
          <t>הוצאה חודשית ממוצעת</t>
        </is>
      </c>
      <c r="K2" s="41" t="n">
        <v>15000</v>
      </c>
      <c r="L2" s="41" t="n">
        <v>15000</v>
      </c>
      <c r="M2" s="38" t="n"/>
      <c r="N2" s="38" t="inlineStr">
        <is>
          <t>שכר מורן</t>
        </is>
      </c>
      <c r="O2" s="41" t="n">
        <v>17500</v>
      </c>
    </row>
    <row r="3" ht="15" customHeight="1">
      <c r="A3" s="43" t="n">
        <v>1</v>
      </c>
      <c r="B3" s="45" t="n">
        <v>44927</v>
      </c>
      <c r="C3" s="44" t="n">
        <v>4504</v>
      </c>
      <c r="D3" s="44" t="n">
        <v>11623</v>
      </c>
      <c r="E3" s="44" t="n">
        <v>16127</v>
      </c>
      <c r="F3" s="40" t="n"/>
      <c r="G3" s="43" t="n">
        <v>2</v>
      </c>
      <c r="H3" s="40" t="n"/>
      <c r="I3" s="40" t="n"/>
      <c r="J3" s="40" t="inlineStr">
        <is>
          <t>משכנתא</t>
        </is>
      </c>
      <c r="K3" s="44" t="n">
        <v>8639</v>
      </c>
      <c r="L3" s="44" t="n">
        <v>8639</v>
      </c>
      <c r="M3" s="40" t="n"/>
      <c r="N3" s="40" t="inlineStr">
        <is>
          <t>שכר יערה</t>
        </is>
      </c>
      <c r="O3" s="44" t="n">
        <v>16500</v>
      </c>
    </row>
    <row r="4" ht="15" customHeight="1">
      <c r="A4" s="42" t="n">
        <v>2</v>
      </c>
      <c r="B4" s="39" t="n">
        <v>44958</v>
      </c>
      <c r="C4" s="41" t="n">
        <v>6166</v>
      </c>
      <c r="D4" s="41" t="n">
        <v>11955</v>
      </c>
      <c r="E4" s="41" t="n">
        <v>18121</v>
      </c>
      <c r="F4" s="38" t="n"/>
      <c r="G4" s="42" t="n">
        <v>3</v>
      </c>
      <c r="H4" s="38" t="n"/>
      <c r="I4" s="38" t="n"/>
      <c r="J4" s="38" t="inlineStr">
        <is>
          <t>הוצאות נוספות</t>
        </is>
      </c>
      <c r="K4" s="41" t="n">
        <v>1000</v>
      </c>
      <c r="L4" s="41" t="n">
        <v>1000</v>
      </c>
      <c r="M4" s="38" t="n"/>
      <c r="N4" s="38" t="inlineStr">
        <is>
          <t>הכנסה</t>
        </is>
      </c>
      <c r="O4" s="41" t="n">
        <v>34000</v>
      </c>
    </row>
    <row r="5" ht="15" customHeight="1">
      <c r="A5" s="43" t="n">
        <v>3</v>
      </c>
      <c r="B5" s="45" t="n">
        <v>44986</v>
      </c>
      <c r="C5" s="44" t="n">
        <v>1861</v>
      </c>
      <c r="D5" s="44" t="n">
        <v>13084</v>
      </c>
      <c r="E5" s="44" t="n">
        <v>14945</v>
      </c>
      <c r="F5" s="40" t="n"/>
      <c r="G5" s="43" t="n">
        <v>4</v>
      </c>
      <c r="H5" s="40" t="inlineStr">
        <is>
          <t>פרגולה</t>
        </is>
      </c>
      <c r="I5" s="44" t="n">
        <v>4000</v>
      </c>
      <c r="J5" s="40" t="inlineStr">
        <is>
          <t>הלוואה יערה</t>
        </is>
      </c>
      <c r="K5" s="44" t="n">
        <v>1300</v>
      </c>
      <c r="L5" s="40" t="n">
        <v>0</v>
      </c>
      <c r="M5" s="40" t="n"/>
      <c r="N5" s="40" t="n"/>
      <c r="O5" s="40" t="n"/>
    </row>
    <row r="6" ht="15" customHeight="1">
      <c r="A6" s="42" t="n">
        <v>4</v>
      </c>
      <c r="B6" s="39" t="n">
        <v>45017</v>
      </c>
      <c r="C6" s="41" t="n">
        <v>2411</v>
      </c>
      <c r="D6" s="41" t="n">
        <v>12763</v>
      </c>
      <c r="E6" s="41" t="n">
        <v>15174</v>
      </c>
      <c r="F6" s="38" t="n"/>
      <c r="G6" s="42" t="n">
        <v>5</v>
      </c>
      <c r="H6" s="38" t="n"/>
      <c r="I6" s="38" t="n"/>
      <c r="J6" s="38" t="inlineStr">
        <is>
          <t>הוצאות</t>
        </is>
      </c>
      <c r="K6" s="41" t="n">
        <v>25939</v>
      </c>
      <c r="L6" s="41" t="n">
        <v>24639</v>
      </c>
      <c r="M6" s="38" t="n"/>
      <c r="N6" s="38" t="n"/>
      <c r="O6" s="38" t="n"/>
    </row>
    <row r="7" ht="15" customHeight="1">
      <c r="A7" s="43" t="n">
        <v>5</v>
      </c>
      <c r="B7" s="45" t="n">
        <v>45047</v>
      </c>
      <c r="C7" s="44" t="n">
        <v>1413</v>
      </c>
      <c r="D7" s="44" t="n">
        <v>8589</v>
      </c>
      <c r="E7" s="44" t="n">
        <v>10002</v>
      </c>
      <c r="F7" s="40" t="n"/>
      <c r="G7" s="43" t="n">
        <v>6</v>
      </c>
      <c r="H7" s="40" t="n"/>
      <c r="I7" s="40" t="n"/>
      <c r="J7" s="40" t="inlineStr">
        <is>
          <t>חיסכון חודשי=הכנסה-הוצאה</t>
        </is>
      </c>
      <c r="K7" s="44" t="n">
        <v>8061</v>
      </c>
      <c r="L7" s="44" t="n">
        <v>9361</v>
      </c>
      <c r="M7" s="40" t="n"/>
      <c r="N7" s="40" t="n"/>
      <c r="O7" s="40" t="n"/>
    </row>
    <row r="8" ht="15" customHeight="1">
      <c r="A8" s="42" t="n">
        <v>6</v>
      </c>
      <c r="B8" s="39" t="n">
        <v>45078</v>
      </c>
      <c r="C8" s="42" t="n">
        <v>945</v>
      </c>
      <c r="D8" s="41" t="n">
        <v>8934</v>
      </c>
      <c r="E8" s="41" t="n">
        <v>9879</v>
      </c>
      <c r="F8" s="38" t="n"/>
      <c r="G8" s="42" t="n">
        <v>7</v>
      </c>
      <c r="H8" s="38" t="n"/>
      <c r="I8" s="38" t="n"/>
      <c r="J8" s="38" t="inlineStr">
        <is>
          <t>חיסכון שנתי (12 חודשים)</t>
        </is>
      </c>
      <c r="K8" s="41" t="n">
        <v>96732</v>
      </c>
      <c r="L8" s="41" t="n">
        <v>112332</v>
      </c>
      <c r="M8" s="38" t="n"/>
      <c r="N8" s="38" t="n"/>
      <c r="O8" s="38" t="n"/>
    </row>
    <row r="9" ht="15" customHeight="1">
      <c r="A9" s="43" t="n">
        <v>7</v>
      </c>
      <c r="B9" s="45" t="n">
        <v>45108</v>
      </c>
      <c r="C9" s="44" t="n">
        <v>1478</v>
      </c>
      <c r="D9" s="44" t="n">
        <v>10009</v>
      </c>
      <c r="E9" s="44" t="n">
        <v>11487</v>
      </c>
      <c r="F9" s="40" t="n"/>
      <c r="G9" s="43" t="n">
        <v>8</v>
      </c>
      <c r="H9" s="40" t="n"/>
      <c r="I9" s="40" t="n"/>
      <c r="J9" s="40" t="n"/>
      <c r="K9" s="40" t="n"/>
      <c r="L9" s="40" t="n"/>
      <c r="M9" s="40" t="n"/>
      <c r="N9" s="40" t="n"/>
      <c r="O9" s="40" t="n"/>
    </row>
    <row r="10" ht="15" customHeight="1">
      <c r="A10" s="42" t="n">
        <v>8</v>
      </c>
      <c r="B10" s="39" t="n">
        <v>45139</v>
      </c>
      <c r="C10" s="42" t="n">
        <v>472</v>
      </c>
      <c r="D10" s="41" t="n">
        <v>15606</v>
      </c>
      <c r="E10" s="41" t="n">
        <v>16078</v>
      </c>
      <c r="F10" s="38" t="n"/>
      <c r="G10" s="42" t="n">
        <v>9</v>
      </c>
      <c r="H10" s="38" t="inlineStr">
        <is>
          <t>טיול</t>
        </is>
      </c>
      <c r="I10" s="41" t="n">
        <v>13500</v>
      </c>
      <c r="J10" s="38" t="n"/>
      <c r="K10" s="38" t="n"/>
      <c r="L10" s="38" t="n"/>
      <c r="M10" s="38" t="n"/>
      <c r="N10" s="38" t="n"/>
      <c r="O10" s="38" t="n"/>
    </row>
    <row r="11" ht="15" customHeight="1">
      <c r="A11" s="43" t="n">
        <v>9</v>
      </c>
      <c r="B11" s="45" t="n">
        <v>45170</v>
      </c>
      <c r="C11" s="44" t="n">
        <v>2184</v>
      </c>
      <c r="D11" s="44" t="n">
        <v>13388</v>
      </c>
      <c r="E11" s="44" t="n">
        <v>15572</v>
      </c>
      <c r="F11" s="40" t="n"/>
      <c r="G11" s="43" t="n">
        <v>10</v>
      </c>
      <c r="H11" s="40" t="inlineStr">
        <is>
          <t>טיול</t>
        </is>
      </c>
      <c r="I11" s="44" t="n">
        <v>11000</v>
      </c>
      <c r="J11" s="40" t="n"/>
      <c r="K11" s="40" t="n"/>
      <c r="L11" s="40" t="n"/>
      <c r="M11" s="40" t="n"/>
      <c r="N11" s="40" t="n"/>
      <c r="O11" s="40" t="n"/>
    </row>
    <row r="12" ht="15" customHeight="1">
      <c r="A12" s="42" t="n">
        <v>10</v>
      </c>
      <c r="B12" s="39" t="n">
        <v>45200</v>
      </c>
      <c r="C12" s="41" t="n">
        <v>2329</v>
      </c>
      <c r="D12" s="41" t="n">
        <v>9938</v>
      </c>
      <c r="E12" s="41" t="n">
        <v>12267</v>
      </c>
      <c r="F12" s="38" t="n"/>
      <c r="G12" s="42" t="n">
        <v>11</v>
      </c>
      <c r="H12" s="38" t="n"/>
      <c r="I12" s="38" t="n"/>
      <c r="J12" s="38" t="n"/>
      <c r="K12" s="38" t="n"/>
      <c r="L12" s="38" t="n"/>
      <c r="M12" s="38" t="n"/>
      <c r="N12" s="38" t="n"/>
      <c r="O12" s="38" t="n"/>
    </row>
    <row r="13" ht="15" customHeight="1">
      <c r="A13" s="43" t="n">
        <v>11</v>
      </c>
      <c r="B13" s="45" t="n">
        <v>45231</v>
      </c>
      <c r="C13" s="44" t="n">
        <v>4636</v>
      </c>
      <c r="D13" s="44" t="n">
        <v>8410</v>
      </c>
      <c r="E13" s="44" t="n">
        <v>13046</v>
      </c>
      <c r="F13" s="40" t="n"/>
      <c r="G13" s="43" t="n">
        <v>12</v>
      </c>
      <c r="H13" s="40" t="n"/>
      <c r="I13" s="40" t="n"/>
      <c r="J13" s="40" t="n"/>
      <c r="K13" s="40" t="n"/>
      <c r="L13" s="40" t="n"/>
      <c r="M13" s="40" t="n"/>
      <c r="N13" s="40" t="n"/>
      <c r="O13" s="40" t="n"/>
    </row>
    <row r="14" ht="15" customHeight="1">
      <c r="A14" s="42" t="n">
        <v>12</v>
      </c>
      <c r="B14" s="39" t="n">
        <v>45261</v>
      </c>
      <c r="C14" s="41" t="n">
        <v>1139</v>
      </c>
      <c r="D14" s="41" t="n">
        <v>12561</v>
      </c>
      <c r="E14" s="41" t="n">
        <v>13700</v>
      </c>
      <c r="F14" s="38" t="n"/>
      <c r="G14" s="38" t="n"/>
      <c r="H14" s="38" t="n"/>
      <c r="I14" s="41" t="n">
        <v>28500</v>
      </c>
      <c r="J14" s="38" t="n"/>
      <c r="K14" s="38" t="n"/>
      <c r="L14" s="38" t="n"/>
      <c r="M14" s="38" t="n"/>
      <c r="N14" s="38" t="n"/>
      <c r="O14" s="38" t="n"/>
    </row>
    <row r="15" ht="15" customHeight="1">
      <c r="A15" s="43" t="n">
        <v>13</v>
      </c>
      <c r="B15" s="45" t="n">
        <v>45292</v>
      </c>
      <c r="C15" s="44" t="n">
        <v>1037</v>
      </c>
      <c r="D15" s="44" t="n">
        <v>9770</v>
      </c>
      <c r="E15" s="44" t="n">
        <v>10807</v>
      </c>
      <c r="F15" s="40" t="n"/>
      <c r="G15" s="40" t="n"/>
      <c r="H15" s="40" t="n"/>
      <c r="I15" s="40" t="n"/>
      <c r="J15" s="40" t="n"/>
      <c r="K15" s="40" t="n"/>
      <c r="L15" s="40" t="n"/>
      <c r="M15" s="40" t="n"/>
      <c r="N15" s="40" t="n"/>
      <c r="O15" s="40" t="n"/>
    </row>
    <row r="16" ht="15" customHeight="1">
      <c r="A16" s="42" t="n">
        <v>14</v>
      </c>
      <c r="B16" s="39" t="n">
        <v>45323</v>
      </c>
      <c r="C16" s="41" t="n">
        <v>1071</v>
      </c>
      <c r="D16" s="41" t="n">
        <v>16710</v>
      </c>
      <c r="E16" s="41" t="n">
        <v>17781</v>
      </c>
      <c r="F16" s="38" t="n"/>
      <c r="G16" s="38" t="n"/>
      <c r="H16" s="38" t="n"/>
      <c r="I16" s="38" t="n"/>
      <c r="J16" s="38" t="n"/>
      <c r="K16" s="38" t="n"/>
      <c r="L16" s="38" t="n"/>
      <c r="M16" s="38" t="n"/>
      <c r="N16" s="38" t="n"/>
      <c r="O16" s="38" t="n"/>
    </row>
    <row r="17" ht="15" customHeight="1">
      <c r="A17" s="43" t="n">
        <v>15</v>
      </c>
      <c r="B17" s="45" t="n">
        <v>45352</v>
      </c>
      <c r="C17" s="44" t="n">
        <v>1022</v>
      </c>
      <c r="D17" s="44" t="n">
        <v>13284</v>
      </c>
      <c r="E17" s="44" t="n">
        <v>14306</v>
      </c>
      <c r="F17" s="40" t="n"/>
      <c r="G17" s="40" t="n"/>
      <c r="H17" s="40" t="n"/>
      <c r="I17" s="40" t="n"/>
      <c r="J17" s="40" t="n"/>
      <c r="K17" s="40" t="n"/>
      <c r="L17" s="40" t="n"/>
      <c r="M17" s="40" t="n"/>
      <c r="N17" s="40" t="n"/>
      <c r="O17" s="40" t="n"/>
    </row>
    <row r="18" ht="15" customHeight="1">
      <c r="A18" s="42" t="n">
        <v>16</v>
      </c>
      <c r="B18" s="39" t="n">
        <v>45383</v>
      </c>
      <c r="C18" s="38" t="n">
        <v>0</v>
      </c>
      <c r="D18" s="41" t="n">
        <v>10186.63</v>
      </c>
      <c r="E18" s="41" t="n">
        <v>10186.63</v>
      </c>
      <c r="F18" s="38" t="n"/>
      <c r="G18" s="38" t="n"/>
      <c r="H18" s="38" t="n"/>
      <c r="I18" s="38" t="n"/>
      <c r="J18" s="38" t="n"/>
      <c r="K18" s="38" t="n"/>
      <c r="L18" s="38" t="n"/>
      <c r="M18" s="38" t="n"/>
      <c r="N18" s="38" t="n"/>
      <c r="O18" s="38" t="n"/>
    </row>
    <row r="19" ht="15" customHeight="1">
      <c r="A19" s="43" t="n">
        <v>17</v>
      </c>
      <c r="B19" s="45" t="n">
        <v>45413</v>
      </c>
      <c r="C19" s="44" t="n">
        <v>3859.45</v>
      </c>
      <c r="D19" s="44" t="n">
        <v>11391.39</v>
      </c>
      <c r="E19" s="44" t="n">
        <v>15250.84</v>
      </c>
      <c r="F19" s="40" t="n"/>
      <c r="G19" s="40" t="n"/>
      <c r="H19" s="40" t="n"/>
      <c r="I19" s="40" t="n"/>
      <c r="J19" s="40" t="n"/>
      <c r="K19" s="40" t="n"/>
      <c r="L19" s="40" t="n"/>
      <c r="M19" s="40" t="n"/>
      <c r="N19" s="40" t="n"/>
      <c r="O19" s="40" t="n"/>
    </row>
    <row r="20" ht="15" customHeight="1">
      <c r="A20" s="42" t="n">
        <v>18</v>
      </c>
      <c r="B20" s="39" t="n">
        <v>45444</v>
      </c>
      <c r="C20" s="41" t="n">
        <v>3239</v>
      </c>
      <c r="D20" s="41" t="n">
        <v>12677</v>
      </c>
      <c r="E20" s="41" t="n">
        <v>15916</v>
      </c>
      <c r="F20" s="38" t="n"/>
      <c r="G20" s="38" t="n"/>
      <c r="H20" s="38" t="n"/>
      <c r="I20" s="38" t="n"/>
      <c r="J20" s="38" t="n"/>
      <c r="K20" s="38" t="n"/>
      <c r="L20" s="38" t="n"/>
      <c r="M20" s="38" t="n"/>
      <c r="N20" s="38" t="n"/>
      <c r="O20" s="38" t="n"/>
    </row>
    <row r="21" ht="15" customHeight="1">
      <c r="A21" s="43" t="n">
        <v>19</v>
      </c>
      <c r="B21" s="45" t="n">
        <v>45474</v>
      </c>
      <c r="C21" s="44" t="n">
        <v>1455</v>
      </c>
      <c r="D21" s="44" t="n">
        <v>9665</v>
      </c>
      <c r="E21" s="44" t="n">
        <v>11120</v>
      </c>
      <c r="F21" s="40" t="n"/>
      <c r="G21" s="40" t="n"/>
      <c r="H21" s="40" t="n"/>
      <c r="I21" s="40" t="n"/>
      <c r="J21" s="40" t="n"/>
      <c r="K21" s="40" t="n"/>
      <c r="L21" s="40" t="n"/>
      <c r="M21" s="40" t="n"/>
      <c r="N21" s="40" t="n"/>
      <c r="O21" s="40" t="n"/>
    </row>
    <row r="22" ht="15" customHeight="1">
      <c r="A22" s="42" t="n">
        <v>20</v>
      </c>
      <c r="B22" s="39" t="n">
        <v>45505</v>
      </c>
      <c r="C22" s="41" t="n">
        <v>5631</v>
      </c>
      <c r="D22" s="41" t="n">
        <v>18482</v>
      </c>
      <c r="E22" s="41" t="n">
        <v>24113</v>
      </c>
      <c r="F22" s="38" t="n"/>
      <c r="G22" s="38" t="n"/>
      <c r="H22" s="38" t="n"/>
      <c r="I22" s="38" t="n"/>
      <c r="J22" s="38" t="n"/>
      <c r="K22" s="38" t="n"/>
      <c r="L22" s="38" t="n"/>
      <c r="M22" s="38" t="n"/>
      <c r="N22" s="38" t="n"/>
      <c r="O22" s="38" t="n"/>
    </row>
    <row r="23" ht="15" customHeight="1">
      <c r="A23" s="43" t="n">
        <v>21</v>
      </c>
      <c r="B23" s="45" t="n">
        <v>45536</v>
      </c>
      <c r="C23" s="44" t="n">
        <v>9362</v>
      </c>
      <c r="D23" s="44" t="n">
        <v>11239</v>
      </c>
      <c r="E23" s="44" t="n">
        <v>20601</v>
      </c>
      <c r="F23" s="40" t="n"/>
      <c r="G23" s="40" t="n"/>
      <c r="H23" s="40" t="n"/>
      <c r="I23" s="40" t="n"/>
      <c r="J23" s="40" t="n"/>
      <c r="K23" s="40" t="n"/>
      <c r="L23" s="40" t="n"/>
      <c r="M23" s="40" t="n"/>
      <c r="N23" s="40" t="n"/>
      <c r="O23" s="40" t="n"/>
    </row>
    <row r="24" ht="15" customHeight="1">
      <c r="A24" s="42" t="n">
        <v>22</v>
      </c>
      <c r="B24" s="39" t="n">
        <v>45566</v>
      </c>
      <c r="C24" s="41" t="n">
        <v>4167</v>
      </c>
      <c r="D24" s="41" t="n">
        <v>5838</v>
      </c>
      <c r="E24" s="41" t="n">
        <v>10005</v>
      </c>
      <c r="F24" s="38" t="n"/>
      <c r="G24" s="38" t="n"/>
      <c r="H24" s="38" t="n"/>
      <c r="I24" s="38" t="n"/>
      <c r="J24" s="38" t="n"/>
      <c r="K24" s="38" t="n"/>
      <c r="L24" s="38" t="n"/>
      <c r="M24" s="38" t="n"/>
      <c r="N24" s="38" t="n"/>
      <c r="O24" s="38" t="n"/>
    </row>
    <row r="25" ht="15" customHeight="1">
      <c r="A25" s="43" t="n">
        <v>23</v>
      </c>
      <c r="B25" s="45" t="n">
        <v>45597</v>
      </c>
      <c r="C25" s="44" t="n">
        <v>12517</v>
      </c>
      <c r="D25" s="44" t="n">
        <v>8790</v>
      </c>
      <c r="E25" s="44" t="n">
        <v>21307</v>
      </c>
      <c r="F25" s="40" t="n"/>
      <c r="G25" s="40" t="n"/>
      <c r="H25" s="40" t="n"/>
      <c r="I25" s="40" t="n"/>
      <c r="J25" s="40" t="n"/>
      <c r="K25" s="40" t="n"/>
      <c r="L25" s="40" t="n"/>
      <c r="M25" s="40" t="n"/>
      <c r="N25" s="40" t="n"/>
      <c r="O25" s="40" t="n"/>
    </row>
    <row r="26" ht="15" customHeight="1">
      <c r="A26" s="42" t="n">
        <v>24</v>
      </c>
      <c r="B26" s="39" t="n">
        <v>45627</v>
      </c>
      <c r="C26" s="41" t="n">
        <v>10162</v>
      </c>
      <c r="D26" s="41" t="n">
        <v>6926</v>
      </c>
      <c r="E26" s="41" t="n">
        <v>17088</v>
      </c>
      <c r="F26" s="38" t="n"/>
      <c r="G26" s="38" t="n"/>
      <c r="H26" s="38" t="n"/>
      <c r="I26" s="38" t="n"/>
      <c r="J26" s="38" t="n"/>
      <c r="K26" s="38" t="n"/>
      <c r="L26" s="38" t="n"/>
      <c r="M26" s="38" t="n"/>
      <c r="N26" s="38" t="n"/>
      <c r="O26" s="38" t="n"/>
    </row>
    <row r="27" ht="15" customHeight="1">
      <c r="A27" s="43" t="n">
        <v>25</v>
      </c>
      <c r="B27" s="45" t="n">
        <v>45658</v>
      </c>
      <c r="C27" s="44" t="n">
        <v>14243</v>
      </c>
      <c r="D27" s="44" t="n">
        <v>12445</v>
      </c>
      <c r="E27" s="44" t="n">
        <v>26688</v>
      </c>
      <c r="F27" s="40" t="n"/>
      <c r="G27" s="40" t="n"/>
      <c r="H27" s="40" t="n"/>
      <c r="I27" s="40" t="n"/>
      <c r="J27" s="40" t="n"/>
      <c r="K27" s="40" t="n"/>
      <c r="L27" s="40" t="n"/>
      <c r="M27" s="40" t="n"/>
      <c r="N27" s="40" t="n"/>
      <c r="O27" s="40" t="n"/>
    </row>
    <row r="28" ht="15" customHeight="1">
      <c r="A28" s="42" t="n">
        <v>26</v>
      </c>
      <c r="B28" s="39" t="n">
        <v>45689</v>
      </c>
      <c r="C28" s="41" t="n">
        <v>14733</v>
      </c>
      <c r="D28" s="41" t="n">
        <v>6286</v>
      </c>
      <c r="E28" s="41" t="n">
        <v>21019</v>
      </c>
      <c r="F28" s="38" t="n"/>
      <c r="G28" s="38" t="n"/>
      <c r="H28" s="38" t="n"/>
      <c r="I28" s="38" t="n"/>
      <c r="J28" s="38" t="n"/>
      <c r="K28" s="38" t="n"/>
      <c r="L28" s="38" t="n"/>
      <c r="M28" s="38" t="n"/>
      <c r="N28" s="38" t="n"/>
      <c r="O28" s="38" t="n"/>
    </row>
    <row r="29" ht="15" customHeight="1">
      <c r="A29" s="43" t="n">
        <v>27</v>
      </c>
      <c r="B29" s="45" t="n">
        <v>45717</v>
      </c>
      <c r="C29" s="44" t="n">
        <v>5185</v>
      </c>
      <c r="D29" s="44" t="n">
        <v>6646</v>
      </c>
      <c r="E29" s="44" t="n">
        <v>11831</v>
      </c>
      <c r="F29" s="40" t="n"/>
      <c r="G29" s="40" t="n"/>
      <c r="H29" s="40" t="n"/>
      <c r="I29" s="40" t="n"/>
      <c r="J29" s="40" t="n"/>
      <c r="K29" s="40" t="n"/>
      <c r="L29" s="40" t="n"/>
      <c r="M29" s="40" t="n"/>
      <c r="N29" s="40" t="n"/>
      <c r="O29" s="40" t="n"/>
    </row>
    <row r="30" ht="15" customHeight="1">
      <c r="A30" s="42" t="n">
        <v>28</v>
      </c>
      <c r="B30" s="39" t="n">
        <v>45748</v>
      </c>
      <c r="C30" s="41" t="n">
        <v>3082</v>
      </c>
      <c r="D30" s="41" t="n">
        <v>6868</v>
      </c>
      <c r="E30" s="41" t="n">
        <v>9950</v>
      </c>
      <c r="F30" s="38" t="n"/>
      <c r="G30" s="38" t="n"/>
      <c r="H30" s="38" t="n"/>
      <c r="I30" s="38" t="n"/>
      <c r="J30" s="38" t="n"/>
      <c r="K30" s="38" t="n"/>
      <c r="L30" s="38" t="n"/>
      <c r="M30" s="38" t="n"/>
      <c r="N30" s="38" t="n"/>
      <c r="O30" s="38" t="n"/>
    </row>
    <row r="31" ht="15" customHeight="1">
      <c r="A31" s="43" t="n">
        <v>29</v>
      </c>
      <c r="B31" s="45" t="n">
        <v>45778</v>
      </c>
      <c r="C31" s="44" t="n">
        <v>7162</v>
      </c>
      <c r="D31" s="44" t="n">
        <v>8676</v>
      </c>
      <c r="E31" s="44" t="n">
        <v>15838</v>
      </c>
      <c r="F31" s="40" t="n"/>
      <c r="G31" s="40" t="n"/>
      <c r="H31" s="40" t="n"/>
      <c r="I31" s="40" t="n"/>
      <c r="J31" s="40" t="n"/>
      <c r="K31" s="40" t="n"/>
      <c r="L31" s="40" t="n"/>
      <c r="M31" s="40" t="n"/>
      <c r="N31" s="40" t="n"/>
      <c r="O31" s="40" t="n"/>
    </row>
    <row r="32" ht="15" customHeight="1">
      <c r="A32" s="42" t="n">
        <v>30</v>
      </c>
      <c r="B32" s="39" t="n">
        <v>45809</v>
      </c>
      <c r="C32" s="41" t="n">
        <v>5260</v>
      </c>
      <c r="D32" s="41" t="n">
        <v>13840</v>
      </c>
      <c r="E32" s="41" t="n">
        <v>19100</v>
      </c>
      <c r="F32" s="38" t="n"/>
      <c r="G32" s="38" t="n"/>
      <c r="H32" s="38" t="n"/>
      <c r="I32" s="38" t="n"/>
      <c r="J32" s="38" t="n"/>
      <c r="K32" s="38" t="n"/>
      <c r="L32" s="38" t="n"/>
      <c r="M32" s="38" t="n"/>
      <c r="N32" s="38" t="n"/>
      <c r="O32" s="38" t="n"/>
    </row>
    <row r="33" ht="15" customHeight="1">
      <c r="A33" s="43" t="n">
        <v>31</v>
      </c>
      <c r="B33" s="45" t="n">
        <v>45839</v>
      </c>
      <c r="C33" s="44" t="n">
        <v>4007</v>
      </c>
      <c r="D33" s="44" t="n">
        <v>6978</v>
      </c>
      <c r="E33" s="44" t="n">
        <v>10985</v>
      </c>
      <c r="F33" s="40" t="n"/>
      <c r="G33" s="40" t="n"/>
      <c r="H33" s="40" t="n"/>
      <c r="I33" s="40" t="n"/>
      <c r="J33" s="40" t="n"/>
      <c r="K33" s="40" t="n"/>
      <c r="L33" s="40" t="n"/>
      <c r="M33" s="40" t="n"/>
      <c r="N33" s="40" t="n"/>
      <c r="O33" s="40" t="n"/>
    </row>
    <row r="34" ht="15" customHeight="1">
      <c r="A34" s="42" t="n">
        <v>32</v>
      </c>
      <c r="B34" s="39" t="n">
        <v>45870</v>
      </c>
      <c r="C34" s="41" t="n">
        <v>3377</v>
      </c>
      <c r="D34" s="41" t="n">
        <v>12466</v>
      </c>
      <c r="E34" s="41" t="n">
        <v>15843</v>
      </c>
      <c r="F34" s="38" t="n"/>
      <c r="G34" s="38" t="n"/>
      <c r="H34" s="38" t="n"/>
      <c r="I34" s="38" t="n"/>
      <c r="J34" s="38" t="n"/>
      <c r="K34" s="38" t="n"/>
      <c r="L34" s="38" t="n"/>
      <c r="M34" s="38" t="n"/>
      <c r="N34" s="38" t="n"/>
      <c r="O34" s="38" t="n"/>
    </row>
    <row r="35" ht="15" customHeight="1">
      <c r="A35" s="43" t="n">
        <v>33</v>
      </c>
      <c r="B35" s="45" t="n">
        <v>45901</v>
      </c>
      <c r="C35" s="44" t="n">
        <v>6064</v>
      </c>
      <c r="D35" s="44" t="n">
        <v>8029</v>
      </c>
      <c r="E35" s="44" t="n">
        <v>14093</v>
      </c>
      <c r="F35" s="40" t="n"/>
      <c r="G35" s="40" t="n"/>
      <c r="H35" s="40" t="n"/>
      <c r="I35" s="40" t="n"/>
      <c r="J35" s="40" t="n"/>
      <c r="K35" s="40" t="n"/>
      <c r="L35" s="40" t="n"/>
      <c r="M35" s="40" t="n"/>
      <c r="N35" s="40" t="n"/>
      <c r="O35" s="40" t="n"/>
    </row>
    <row r="36" ht="15" customHeight="1">
      <c r="A36" s="42" t="n">
        <v>34</v>
      </c>
      <c r="B36" s="39" t="n">
        <v>45931</v>
      </c>
      <c r="C36" s="41" t="n">
        <v>4037</v>
      </c>
      <c r="D36" s="41" t="n">
        <v>10212</v>
      </c>
      <c r="E36" s="41" t="n">
        <v>14249</v>
      </c>
      <c r="F36" s="38" t="n"/>
      <c r="G36" s="38" t="n"/>
      <c r="H36" s="38" t="n"/>
      <c r="I36" s="38" t="n"/>
      <c r="J36" s="38" t="n"/>
      <c r="K36" s="38" t="n"/>
      <c r="L36" s="38" t="n"/>
      <c r="M36" s="38" t="n"/>
      <c r="N36" s="38" t="n"/>
      <c r="O36" s="38" t="n"/>
    </row>
    <row r="37" ht="15" customHeight="1">
      <c r="A37" s="40" t="n"/>
      <c r="B37" s="45" t="n">
        <v>45962</v>
      </c>
      <c r="C37" s="44" t="n">
        <v>4173</v>
      </c>
      <c r="D37" s="44" t="n">
        <v>8301</v>
      </c>
      <c r="E37" s="44" t="n">
        <v>12474</v>
      </c>
      <c r="F37" s="40" t="n"/>
      <c r="G37" s="40" t="n"/>
      <c r="H37" s="40" t="n"/>
      <c r="I37" s="40" t="n"/>
      <c r="J37" s="40" t="n"/>
      <c r="K37" s="40" t="n"/>
      <c r="L37" s="40" t="n"/>
      <c r="M37" s="40" t="n"/>
      <c r="N37" s="40" t="n"/>
      <c r="O37" s="40" t="n"/>
    </row>
    <row r="38" ht="15" customHeight="1">
      <c r="A38" s="38" t="n"/>
      <c r="B38" s="39" t="n">
        <v>45992</v>
      </c>
      <c r="C38" s="41" t="n">
        <v>3240</v>
      </c>
      <c r="D38" s="41" t="n">
        <v>14198</v>
      </c>
      <c r="E38" s="41" t="n">
        <v>17438</v>
      </c>
      <c r="F38" s="38" t="n"/>
      <c r="G38" s="38" t="n"/>
      <c r="H38" s="38" t="n"/>
      <c r="I38" s="38" t="n"/>
      <c r="J38" s="38" t="n"/>
      <c r="K38" s="38" t="n"/>
      <c r="L38" s="38" t="n"/>
      <c r="M38" s="38" t="n"/>
      <c r="N38" s="38" t="n"/>
      <c r="O38" s="38" t="n"/>
    </row>
    <row r="39" ht="15" customHeight="1">
      <c r="A39" s="40" t="n"/>
      <c r="B39" s="45" t="n">
        <v>46023</v>
      </c>
      <c r="C39" s="44" t="n">
        <v>3615</v>
      </c>
      <c r="D39" s="44" t="n">
        <v>4873</v>
      </c>
      <c r="E39" s="44" t="n">
        <v>8488</v>
      </c>
      <c r="F39" s="40" t="n"/>
      <c r="G39" s="40" t="n"/>
      <c r="H39" s="40" t="n"/>
      <c r="I39" s="40" t="n"/>
      <c r="J39" s="40" t="n"/>
      <c r="K39" s="40" t="n"/>
      <c r="L39" s="40" t="n"/>
      <c r="M39" s="40" t="n"/>
      <c r="N39" s="40" t="n"/>
      <c r="O39" s="40" t="n"/>
    </row>
    <row r="40" ht="15" customHeight="1">
      <c r="A40" s="38" t="n"/>
      <c r="B40" s="39" t="n">
        <v>46054</v>
      </c>
      <c r="C40" s="38" t="n"/>
      <c r="D40" s="38" t="n"/>
      <c r="E40" s="38" t="n"/>
      <c r="F40" s="38" t="n"/>
      <c r="G40" s="38" t="n"/>
      <c r="H40" s="38" t="n"/>
      <c r="I40" s="38" t="n"/>
      <c r="J40" s="38" t="n"/>
      <c r="K40" s="38" t="n"/>
      <c r="L40" s="38" t="n"/>
      <c r="M40" s="38" t="n"/>
      <c r="N40" s="38" t="n"/>
      <c r="O40" s="38" t="n"/>
    </row>
    <row r="41" ht="15" customHeight="1">
      <c r="A41" s="40" t="n"/>
      <c r="B41" s="45" t="n">
        <v>46082</v>
      </c>
      <c r="C41" s="40" t="n"/>
      <c r="D41" s="40" t="n"/>
      <c r="E41" s="40" t="n"/>
      <c r="F41" s="40" t="n"/>
      <c r="G41" s="40" t="n"/>
      <c r="H41" s="40" t="n"/>
      <c r="I41" s="40" t="n"/>
      <c r="J41" s="40" t="n"/>
      <c r="K41" s="40" t="n"/>
      <c r="L41" s="40" t="n"/>
      <c r="M41" s="40" t="n"/>
      <c r="N41" s="40" t="n"/>
      <c r="O41" s="40" t="n"/>
    </row>
    <row r="42" ht="15" customHeight="1">
      <c r="A42" s="38" t="n"/>
      <c r="B42" s="38" t="inlineStr">
        <is>
          <t>סה"כ</t>
        </is>
      </c>
      <c r="C42" s="41" t="n">
        <v>161238.45</v>
      </c>
      <c r="D42" s="41" t="n">
        <v>391637.02</v>
      </c>
      <c r="E42" s="41" t="n">
        <v>552875.47</v>
      </c>
      <c r="F42" s="38" t="n"/>
      <c r="G42" s="38" t="n"/>
      <c r="H42" s="38" t="n"/>
      <c r="I42" s="38" t="n"/>
      <c r="J42" s="38" t="n"/>
      <c r="K42" s="38" t="n"/>
      <c r="L42" s="38" t="n"/>
      <c r="M42" s="38" t="n"/>
      <c r="N42" s="38" t="n"/>
      <c r="O42" s="38" t="n"/>
    </row>
    <row r="43" ht="15" customHeight="1">
      <c r="A43" s="40" t="n"/>
      <c r="B43" s="40" t="inlineStr">
        <is>
          <t>הוצאות אשראי</t>
        </is>
      </c>
      <c r="C43" s="40" t="n"/>
      <c r="D43" s="44" t="n">
        <v>14942.58027027027</v>
      </c>
      <c r="E43" s="40" t="n"/>
      <c r="F43" s="40" t="n"/>
      <c r="G43" s="40" t="n"/>
      <c r="H43" s="40" t="n"/>
      <c r="I43" s="40" t="n"/>
      <c r="J43" s="40" t="n"/>
      <c r="K43" s="40" t="n"/>
      <c r="L43" s="40" t="n"/>
      <c r="M43" s="40" t="n"/>
      <c r="N43" s="40" t="n"/>
      <c r="O43" s="40"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8"/>
  <sheetViews>
    <sheetView rightToLeft="1" workbookViewId="0">
      <pane ySplit="1" topLeftCell="A2" activePane="bottomLeft" state="frozen"/>
      <selection pane="bottomLeft" activeCell="A1" sqref="A1"/>
    </sheetView>
  </sheetViews>
  <sheetFormatPr baseColWidth="8" defaultRowHeight="15"/>
  <cols>
    <col width="15.5" customWidth="1" min="12" max="12"/>
    <col width="32.5" customWidth="1" min="16" max="16"/>
    <col width="32.5" customWidth="1" min="18" max="18"/>
    <col width="9.875" customWidth="1" min="20" max="20"/>
  </cols>
  <sheetData>
    <row r="1" ht="15" customHeight="1">
      <c r="A1" s="46" t="inlineStr">
        <is>
          <t>עו"ש</t>
        </is>
      </c>
      <c r="B1" s="46" t="n">
        <v>115000</v>
      </c>
      <c r="C1" s="40" t="n"/>
      <c r="D1" s="40" t="n"/>
      <c r="E1" s="40" t="n"/>
      <c r="F1" s="40" t="n"/>
      <c r="G1" s="40" t="n"/>
      <c r="H1" s="40" t="n"/>
      <c r="I1" s="40" t="n"/>
      <c r="J1" s="40" t="n"/>
      <c r="K1" s="40" t="n"/>
      <c r="L1" s="40" t="n"/>
      <c r="M1" s="40" t="n"/>
      <c r="N1" s="40" t="n"/>
      <c r="O1" s="40" t="n"/>
      <c r="P1" s="40" t="n"/>
      <c r="Q1" s="40" t="n"/>
      <c r="R1" s="40" t="n"/>
      <c r="S1" s="40" t="n"/>
      <c r="T1" s="40" t="n"/>
    </row>
    <row r="2" ht="15" customHeight="1">
      <c r="A2" s="38" t="inlineStr">
        <is>
          <t>אבא</t>
        </is>
      </c>
      <c r="B2" s="41" t="n">
        <v>550000</v>
      </c>
      <c r="C2" s="38" t="n"/>
      <c r="D2" s="38" t="n"/>
      <c r="E2" s="38" t="n"/>
      <c r="F2" s="38" t="n"/>
      <c r="G2" s="38" t="n"/>
      <c r="H2" s="38" t="inlineStr">
        <is>
          <t>עלות בית</t>
        </is>
      </c>
      <c r="I2" s="41" t="n">
        <v>3808000</v>
      </c>
      <c r="J2" s="38" t="n"/>
      <c r="K2" s="38" t="inlineStr">
        <is>
          <t>מכירה</t>
        </is>
      </c>
      <c r="L2" s="41" t="n">
        <v>1745000</v>
      </c>
      <c r="M2" s="38" t="n"/>
      <c r="N2" s="38" t="n"/>
      <c r="O2" s="38" t="n"/>
      <c r="P2" s="38" t="n"/>
      <c r="Q2" s="38" t="n"/>
      <c r="R2" s="38" t="n"/>
      <c r="S2" s="38" t="n"/>
      <c r="T2" s="38" t="n"/>
    </row>
    <row r="3" ht="15" customHeight="1">
      <c r="A3" s="40" t="inlineStr">
        <is>
          <t>קופת גמל יערה</t>
        </is>
      </c>
      <c r="B3" s="44" t="n">
        <v>100000</v>
      </c>
      <c r="C3" s="44" t="n">
        <v>80000</v>
      </c>
      <c r="D3" s="40" t="n"/>
      <c r="E3" s="44" t="n">
        <v>1333.333333333333</v>
      </c>
      <c r="F3" s="40" t="n"/>
      <c r="G3" s="40" t="n"/>
      <c r="H3" s="40" t="n"/>
      <c r="I3" s="40" t="n"/>
      <c r="J3" s="40" t="n"/>
      <c r="K3" s="40" t="n"/>
      <c r="L3" s="40" t="n"/>
      <c r="M3" s="40" t="n"/>
      <c r="N3" s="40" t="n"/>
      <c r="O3" s="40" t="n"/>
      <c r="P3" s="40" t="n"/>
      <c r="Q3" s="40" t="n"/>
      <c r="R3" s="40" t="n"/>
      <c r="S3" s="40" t="n"/>
      <c r="T3" s="40" t="n"/>
    </row>
    <row r="4" ht="15" customHeight="1">
      <c r="A4" s="38" t="inlineStr">
        <is>
          <t>קופת גמל מורן</t>
        </is>
      </c>
      <c r="B4" s="41" t="n">
        <v>90000</v>
      </c>
      <c r="C4" s="41" t="n">
        <v>45000</v>
      </c>
      <c r="D4" s="38" t="n"/>
      <c r="E4" s="38" t="n"/>
      <c r="F4" s="38" t="n"/>
      <c r="G4" s="38" t="n"/>
      <c r="H4" s="38" t="n"/>
      <c r="I4" s="38" t="n"/>
      <c r="J4" s="38" t="n"/>
      <c r="K4" s="38" t="n"/>
      <c r="L4" s="38" t="n"/>
      <c r="M4" s="38" t="n"/>
      <c r="N4" s="38" t="n"/>
      <c r="O4" s="38" t="n"/>
      <c r="P4" s="38" t="n"/>
      <c r="Q4" s="38" t="n"/>
      <c r="R4" s="38" t="n"/>
      <c r="S4" s="38" t="n"/>
      <c r="T4" s="38" t="n"/>
    </row>
    <row r="5" ht="15" customHeight="1"/>
    <row r="6" ht="15" customHeight="1">
      <c r="A6" s="38" t="n"/>
      <c r="B6" s="38" t="n"/>
      <c r="C6" s="38" t="n"/>
      <c r="D6" s="38" t="n"/>
      <c r="E6" s="38" t="n"/>
      <c r="F6" s="38" t="n"/>
      <c r="G6" s="38" t="n"/>
      <c r="H6" s="38" t="inlineStr">
        <is>
          <t>כספים</t>
        </is>
      </c>
      <c r="I6" s="38" t="n"/>
      <c r="J6" s="38" t="inlineStr">
        <is>
          <t>החזר חודשי</t>
        </is>
      </c>
      <c r="K6" s="38" t="n"/>
      <c r="L6" s="38" t="inlineStr">
        <is>
          <t>בעו"ש</t>
        </is>
      </c>
      <c r="M6" s="38" t="n"/>
      <c r="N6" s="38" t="n"/>
      <c r="O6" s="38" t="n"/>
      <c r="P6" s="39" t="n">
        <v>45374</v>
      </c>
      <c r="Q6" s="38" t="n"/>
      <c r="R6" s="39" t="n">
        <v>45394</v>
      </c>
      <c r="S6" s="38" t="n"/>
      <c r="T6" s="39" t="n">
        <v>45401</v>
      </c>
    </row>
    <row r="7" ht="15" customHeight="1">
      <c r="A7" s="40" t="n"/>
      <c r="B7" s="44" t="n">
        <v>665000</v>
      </c>
      <c r="C7" s="44" t="n">
        <v>785000</v>
      </c>
      <c r="D7" s="40" t="n"/>
      <c r="E7" s="40" t="n"/>
      <c r="F7" s="40" t="n"/>
      <c r="G7" s="40" t="n"/>
      <c r="H7" s="40" t="inlineStr">
        <is>
          <t>עו"ש</t>
        </is>
      </c>
      <c r="I7" s="44" t="n">
        <v>170000</v>
      </c>
      <c r="J7" s="40" t="n"/>
      <c r="K7" s="40" t="n"/>
      <c r="L7" s="45" t="n">
        <v>45317</v>
      </c>
      <c r="M7" s="44" t="n">
        <v>46000</v>
      </c>
      <c r="N7" s="40" t="n"/>
      <c r="O7" s="40" t="inlineStr">
        <is>
          <t>תמונת מצב</t>
        </is>
      </c>
      <c r="P7" s="40" t="inlineStr">
        <is>
          <t>בעו"ש</t>
        </is>
      </c>
      <c r="Q7" s="44" t="n">
        <v>563000</v>
      </c>
      <c r="R7" s="40" t="inlineStr">
        <is>
          <t>בעו"ש</t>
        </is>
      </c>
      <c r="S7" s="44" t="n">
        <v>591707</v>
      </c>
      <c r="T7" s="44" t="n">
        <v>918777</v>
      </c>
    </row>
    <row r="8" ht="15" customHeight="1">
      <c r="A8" s="38" t="n"/>
      <c r="B8" s="38" t="n"/>
      <c r="C8" s="38" t="n"/>
      <c r="D8" s="38" t="n"/>
      <c r="E8" s="38" t="n"/>
      <c r="F8" s="38" t="n"/>
      <c r="G8" s="38" t="n"/>
      <c r="H8" s="38" t="inlineStr">
        <is>
          <t>קופת גמל יערה</t>
        </is>
      </c>
      <c r="I8" s="41" t="n">
        <v>67000</v>
      </c>
      <c r="J8" s="41" t="n">
        <v>1372</v>
      </c>
      <c r="K8" s="38" t="n"/>
      <c r="L8" s="38" t="inlineStr">
        <is>
          <t>חסכון</t>
        </is>
      </c>
      <c r="M8" s="41" t="n">
        <v>1320000</v>
      </c>
      <c r="N8" s="38" t="n"/>
      <c r="O8" s="38" t="n"/>
      <c r="P8" s="38" t="inlineStr">
        <is>
          <t>חסכון</t>
        </is>
      </c>
      <c r="Q8" s="41" t="n">
        <v>1651000</v>
      </c>
      <c r="R8" s="38" t="inlineStr">
        <is>
          <t>חסכון</t>
        </is>
      </c>
      <c r="S8" s="41" t="n">
        <v>1651000</v>
      </c>
      <c r="T8" s="41" t="n">
        <v>880959</v>
      </c>
    </row>
    <row r="9" ht="15" customHeight="1">
      <c r="A9" s="40" t="inlineStr">
        <is>
          <t>הון עצמי נדרש</t>
        </is>
      </c>
      <c r="B9" s="44" t="n">
        <v>561000</v>
      </c>
      <c r="C9" s="40" t="n"/>
      <c r="D9" s="44" t="n">
        <v>1870000</v>
      </c>
      <c r="E9" s="40" t="n"/>
      <c r="F9" s="40" t="n"/>
      <c r="G9" s="40" t="n"/>
      <c r="H9" s="40" t="inlineStr">
        <is>
          <t>קופת גמל מורן</t>
        </is>
      </c>
      <c r="I9" s="40" t="n"/>
      <c r="J9" s="40" t="n"/>
      <c r="K9" s="40" t="n"/>
      <c r="L9" s="40" t="inlineStr">
        <is>
          <t>שארית עבור מכירה</t>
        </is>
      </c>
      <c r="M9" s="44" t="n">
        <v>797000</v>
      </c>
      <c r="N9" s="40" t="n"/>
      <c r="O9" s="40" t="n"/>
      <c r="P9" s="40" t="inlineStr">
        <is>
          <t>סה"כ  (עו"ש)</t>
        </is>
      </c>
      <c r="Q9" s="44" t="n">
        <v>2214000</v>
      </c>
      <c r="R9" s="40" t="inlineStr">
        <is>
          <t>סה"כ  (עו"ש)</t>
        </is>
      </c>
      <c r="S9" s="44" t="n">
        <v>2242707</v>
      </c>
      <c r="T9" s="44" t="n">
        <v>1799736</v>
      </c>
    </row>
    <row r="10" ht="15" customHeight="1">
      <c r="A10" s="38" t="inlineStr">
        <is>
          <t>מס רכישה</t>
        </is>
      </c>
      <c r="B10" s="41" t="n">
        <v>112200</v>
      </c>
      <c r="C10" s="38" t="n"/>
      <c r="D10" s="38" t="n"/>
      <c r="E10" s="38" t="n"/>
      <c r="F10" s="38" t="n"/>
      <c r="G10" s="38" t="n"/>
      <c r="H10" s="38" t="inlineStr">
        <is>
          <t>אבא</t>
        </is>
      </c>
      <c r="I10" s="41" t="n">
        <v>500000</v>
      </c>
      <c r="J10" s="38" t="n"/>
      <c r="K10" s="38" t="n"/>
      <c r="L10" s="38" t="inlineStr">
        <is>
          <t xml:space="preserve">סה"כ </t>
        </is>
      </c>
      <c r="M10" s="41" t="n">
        <v>2163000</v>
      </c>
      <c r="N10" s="38" t="n"/>
      <c r="O10" s="38" t="n"/>
      <c r="P10" s="38" t="inlineStr">
        <is>
          <t>כסף לטובת הקניה (עו"ש - הוצאות נוספות=)</t>
        </is>
      </c>
      <c r="Q10" s="41" t="n">
        <v>1922260.56</v>
      </c>
      <c r="R10" s="38" t="inlineStr">
        <is>
          <t>כסף לטובת הקניה (עו"ש - הוצאות נוספות=)</t>
        </is>
      </c>
      <c r="S10" s="41" t="n">
        <v>2067410.6</v>
      </c>
      <c r="T10" s="38" t="n"/>
    </row>
    <row r="11" ht="42.75" customHeight="1">
      <c r="A11" s="40" t="inlineStr">
        <is>
          <t>סה"כ</t>
        </is>
      </c>
      <c r="B11" s="44" t="n">
        <v>673200</v>
      </c>
      <c r="C11" s="40" t="n"/>
      <c r="D11" s="40" t="n"/>
      <c r="E11" s="40" t="n"/>
      <c r="F11" s="40" t="n"/>
      <c r="G11" s="40" t="n"/>
      <c r="H11" s="40" t="inlineStr">
        <is>
          <t>אבא 2</t>
        </is>
      </c>
      <c r="I11" s="44" t="n">
        <v>150000</v>
      </c>
      <c r="J11" s="44" t="n">
        <v>2739</v>
      </c>
      <c r="K11" s="40" t="n"/>
      <c r="L11" s="40" t="inlineStr">
        <is>
          <t>אחרי השארה של הכסף עבור הוצאות נוספות (135K)</t>
        </is>
      </c>
      <c r="M11" s="44" t="n">
        <v>1871260.56</v>
      </c>
      <c r="N11" s="40" t="n"/>
      <c r="O11" s="40" t="n"/>
      <c r="P11" s="40" t="inlineStr">
        <is>
          <t>עלות בית</t>
        </is>
      </c>
      <c r="Q11" s="44" t="n">
        <v>3808000</v>
      </c>
      <c r="R11" s="40" t="inlineStr">
        <is>
          <t>עלות בית</t>
        </is>
      </c>
      <c r="S11" s="44" t="n">
        <v>3808000</v>
      </c>
      <c r="T11" s="40" t="n"/>
    </row>
    <row r="12" ht="29.25" customHeight="1">
      <c r="A12" s="38" t="n"/>
      <c r="B12" s="38" t="n"/>
      <c r="C12" s="38" t="n"/>
      <c r="D12" s="41" t="n">
        <v>2520000</v>
      </c>
      <c r="E12" s="38" t="n"/>
      <c r="F12" s="38" t="n"/>
      <c r="G12" s="38" t="n"/>
      <c r="H12" s="38" t="inlineStr">
        <is>
          <t>סה"כ הון עצמי</t>
        </is>
      </c>
      <c r="I12" s="41" t="n">
        <v>887000</v>
      </c>
      <c r="J12" s="38" t="n"/>
      <c r="K12" s="38" t="n"/>
      <c r="L12" s="38" t="inlineStr">
        <is>
          <t>השארה בצד של 150K לשיפוץ</t>
        </is>
      </c>
      <c r="M12" s="41" t="n">
        <v>1721260.56</v>
      </c>
      <c r="N12" s="38" t="n"/>
      <c r="O12" s="38" t="n"/>
      <c r="P12" s="38" t="inlineStr">
        <is>
          <t>משכנתה</t>
        </is>
      </c>
      <c r="Q12" s="41" t="n">
        <v>1400000</v>
      </c>
      <c r="R12" s="38" t="inlineStr">
        <is>
          <t>משכנתה</t>
        </is>
      </c>
      <c r="S12" s="41" t="n">
        <v>1400000</v>
      </c>
      <c r="T12" s="38" t="n"/>
    </row>
    <row r="13" ht="15" customHeight="1">
      <c r="A13" s="40" t="n"/>
      <c r="B13" s="40" t="n"/>
      <c r="C13" s="40" t="n"/>
      <c r="D13" s="40" t="n"/>
      <c r="E13" s="40" t="n"/>
      <c r="F13" s="40" t="n"/>
      <c r="G13" s="40" t="n"/>
      <c r="H13" s="40" t="inlineStr">
        <is>
          <t>דירה</t>
        </is>
      </c>
      <c r="I13" s="44" t="n">
        <v>1745000</v>
      </c>
      <c r="J13" s="40" t="n"/>
      <c r="K13" s="40" t="n"/>
      <c r="L13" s="40" t="inlineStr">
        <is>
          <t>משכנתה</t>
        </is>
      </c>
      <c r="M13" s="44" t="n">
        <v>1400000</v>
      </c>
      <c r="N13" s="40" t="n"/>
      <c r="O13" s="40" t="n"/>
      <c r="P13" s="40" t="inlineStr">
        <is>
          <t>יתרה לתשלום לאחר משכנתה (מהעו"ש)</t>
        </is>
      </c>
      <c r="Q13" s="44" t="n">
        <v>2408000</v>
      </c>
      <c r="R13" s="40" t="inlineStr">
        <is>
          <t>יתרה לתשלום לאחר משכנתה (מהעו"ש)</t>
        </is>
      </c>
      <c r="S13" s="44" t="n">
        <v>2408000</v>
      </c>
      <c r="T13" s="40" t="n"/>
    </row>
    <row r="14" ht="15" customHeight="1">
      <c r="A14" s="38" t="n"/>
      <c r="B14" s="38" t="n"/>
      <c r="C14" s="38" t="n"/>
      <c r="D14" s="38" t="n"/>
      <c r="E14" s="38" t="n"/>
      <c r="F14" s="38" t="n"/>
      <c r="G14" s="38" t="n"/>
      <c r="H14" s="38" t="inlineStr">
        <is>
          <t>משכתה צפויה</t>
        </is>
      </c>
      <c r="I14" s="41" t="n">
        <v>2632000</v>
      </c>
      <c r="J14" s="41" t="n">
        <v>8700</v>
      </c>
      <c r="K14" s="38" t="n"/>
      <c r="L14" s="38" t="inlineStr">
        <is>
          <t>כסף לקנייה</t>
        </is>
      </c>
      <c r="M14" s="41" t="n">
        <v>3121260.56</v>
      </c>
      <c r="N14" s="38" t="n"/>
      <c r="O14" s="38" t="n"/>
      <c r="P14" s="38" t="inlineStr">
        <is>
          <t>אבא</t>
        </is>
      </c>
      <c r="Q14" s="41" t="n">
        <v>500000</v>
      </c>
      <c r="R14" s="38" t="inlineStr">
        <is>
          <t>אבא</t>
        </is>
      </c>
      <c r="S14" s="41" t="n">
        <v>500000</v>
      </c>
      <c r="T14" s="38" t="n"/>
    </row>
    <row r="15" ht="15.75" customHeight="1">
      <c r="A15" s="40" t="n"/>
      <c r="B15" s="40" t="n"/>
      <c r="C15" s="40" t="n"/>
      <c r="D15" s="40" t="n"/>
      <c r="E15" s="40" t="n"/>
      <c r="F15" s="40" t="n"/>
      <c r="G15" s="40" t="n"/>
      <c r="H15" s="40" t="inlineStr">
        <is>
          <t>סה"כ החזר חודשי הלוואות</t>
        </is>
      </c>
      <c r="I15" s="40" t="n"/>
      <c r="J15" s="44" t="n">
        <v>12811</v>
      </c>
      <c r="K15" s="40" t="n"/>
      <c r="L15" s="40" t="inlineStr">
        <is>
          <t>שיפוץ (אבא +150K)</t>
        </is>
      </c>
      <c r="M15" s="44" t="n">
        <v>650000</v>
      </c>
      <c r="N15" s="40" t="n"/>
      <c r="O15" s="40" t="n"/>
      <c r="P15" s="40" t="n"/>
      <c r="Q15" s="44" t="n">
        <v>2422260.56</v>
      </c>
      <c r="R15" s="40" t="n"/>
      <c r="S15" s="44" t="n">
        <v>2567410.6</v>
      </c>
      <c r="T15" s="40" t="n"/>
    </row>
    <row r="16" ht="43.5" customHeight="1">
      <c r="A16" s="38" t="n"/>
      <c r="B16" s="38" t="n"/>
      <c r="C16" s="38" t="n"/>
      <c r="D16" s="38" t="n"/>
      <c r="E16" s="38" t="n"/>
      <c r="F16" s="38" t="n"/>
      <c r="G16" s="38" t="n"/>
      <c r="H16" s="38" t="n"/>
      <c r="I16" s="38" t="n"/>
      <c r="J16" s="38" t="n"/>
      <c r="K16" s="38" t="n"/>
      <c r="L16" s="38" t="inlineStr">
        <is>
          <t>נשאר בעו"ש בסוף הוצאות נוספות (ליום סגריר)</t>
        </is>
      </c>
      <c r="M16" s="41" t="n">
        <v>53000</v>
      </c>
      <c r="N16" s="38" t="n"/>
      <c r="O16" s="38" t="n"/>
      <c r="P16" s="38" t="n"/>
      <c r="Q16" s="38" t="n"/>
      <c r="R16" s="38" t="n"/>
      <c r="S16" s="38" t="n"/>
      <c r="T16" s="38" t="n"/>
    </row>
    <row r="17" ht="15" customHeight="1">
      <c r="A17" s="40" t="n"/>
      <c r="B17" s="40" t="n"/>
      <c r="C17" s="40" t="n"/>
      <c r="D17" s="40" t="n"/>
      <c r="E17" s="40" t="n"/>
      <c r="F17" s="40" t="n"/>
      <c r="G17" s="40" t="n"/>
      <c r="H17" s="40" t="inlineStr">
        <is>
          <t>הוצאות נוספות</t>
        </is>
      </c>
      <c r="I17" s="40" t="inlineStr">
        <is>
          <t>הוצאות</t>
        </is>
      </c>
      <c r="L17" s="40" t="n"/>
      <c r="M17" s="40" t="n"/>
      <c r="N17" s="40" t="n"/>
      <c r="O17" s="40" t="n"/>
      <c r="P17" s="40" t="n"/>
      <c r="Q17" s="40" t="n"/>
      <c r="R17" s="40" t="n"/>
      <c r="S17" s="40" t="n"/>
      <c r="T17" s="40" t="n"/>
    </row>
    <row r="18" ht="15" customHeight="1">
      <c r="A18" s="38" t="n"/>
      <c r="B18" s="38" t="n"/>
      <c r="C18" s="38" t="n"/>
      <c r="D18" s="38" t="n"/>
      <c r="E18" s="38" t="n"/>
      <c r="F18" s="38" t="n"/>
      <c r="G18" s="38" t="n"/>
      <c r="H18" s="38" t="inlineStr">
        <is>
          <t>מס רכישה</t>
        </is>
      </c>
      <c r="I18" s="41" t="n">
        <v>85938</v>
      </c>
      <c r="J18" s="38" t="inlineStr">
        <is>
          <t>מס רכישה</t>
        </is>
      </c>
      <c r="K18" s="41" t="n">
        <v>85938</v>
      </c>
      <c r="L18" s="38" t="inlineStr">
        <is>
          <t>תשלומי קנייה</t>
        </is>
      </c>
      <c r="M18" s="38" t="inlineStr">
        <is>
          <t>תאריך העברה</t>
        </is>
      </c>
      <c r="N18" s="38" t="n"/>
      <c r="O18" s="38" t="n"/>
      <c r="P18" s="38" t="n"/>
      <c r="Q18" s="38" t="n"/>
      <c r="R18" s="38" t="n"/>
      <c r="S18" s="38" t="n"/>
      <c r="T18" s="38" t="n"/>
    </row>
    <row r="19" ht="15" customHeight="1">
      <c r="A19" s="40" t="n"/>
      <c r="B19" s="40" t="n"/>
      <c r="C19" s="40" t="n"/>
      <c r="D19" s="43" t="n">
        <v>100</v>
      </c>
      <c r="E19" s="40" t="n"/>
      <c r="F19" s="40" t="n"/>
      <c r="G19" s="40" t="n"/>
      <c r="H19" s="40" t="inlineStr">
        <is>
          <t>עו"ד</t>
        </is>
      </c>
      <c r="I19" s="44" t="n">
        <v>17821.44</v>
      </c>
      <c r="J19" s="40" t="n"/>
      <c r="K19" s="40" t="n"/>
      <c r="L19" s="44" t="n">
        <v>380000</v>
      </c>
      <c r="M19" s="45" t="n">
        <v>45396</v>
      </c>
      <c r="N19" s="40" t="n"/>
      <c r="O19" s="40" t="n"/>
      <c r="P19" s="40" t="n"/>
      <c r="Q19" s="40" t="n"/>
      <c r="R19" s="40" t="n"/>
      <c r="S19" s="40" t="n"/>
      <c r="T19" s="40" t="n"/>
    </row>
    <row r="20" ht="15" customHeight="1">
      <c r="A20" s="38" t="n"/>
      <c r="B20" s="38" t="n"/>
      <c r="C20" s="38" t="n"/>
      <c r="D20" s="38" t="n"/>
      <c r="E20" s="38" t="n"/>
      <c r="F20" s="38" t="n"/>
      <c r="G20" s="38" t="n"/>
      <c r="H20" s="38" t="inlineStr">
        <is>
          <t>עו"ד 2</t>
        </is>
      </c>
      <c r="I20" s="41" t="n">
        <v>8166.599999999999</v>
      </c>
      <c r="J20" s="38" t="inlineStr">
        <is>
          <t>עו"ד 2</t>
        </is>
      </c>
      <c r="K20" s="41" t="n">
        <v>8167</v>
      </c>
      <c r="L20" s="41" t="n">
        <v>1530000</v>
      </c>
      <c r="M20" s="39" t="n">
        <v>45412</v>
      </c>
      <c r="N20" s="38" t="n"/>
      <c r="O20" s="38" t="n"/>
      <c r="P20" s="38" t="n"/>
      <c r="Q20" s="38" t="n"/>
      <c r="R20" s="38" t="n"/>
      <c r="S20" s="38" t="n"/>
      <c r="T20" s="38" t="n"/>
    </row>
    <row r="21" ht="15" customHeight="1">
      <c r="A21" s="40" t="n"/>
      <c r="B21" s="40" t="n"/>
      <c r="C21" s="40" t="n"/>
      <c r="D21" s="40" t="n"/>
      <c r="E21" s="40" t="n"/>
      <c r="F21" s="40" t="n"/>
      <c r="G21" s="40" t="n"/>
      <c r="H21" s="40" t="inlineStr">
        <is>
          <t>תיווך</t>
        </is>
      </c>
      <c r="I21" s="44" t="n">
        <v>66830.39999999999</v>
      </c>
      <c r="J21" s="40" t="inlineStr">
        <is>
          <t>תיווך</t>
        </is>
      </c>
      <c r="K21" s="44" t="n">
        <v>66830.39999999999</v>
      </c>
      <c r="L21" s="40" t="n"/>
      <c r="M21" s="40" t="n"/>
      <c r="N21" s="40" t="n"/>
      <c r="O21" s="40" t="n"/>
      <c r="P21" s="40" t="n"/>
      <c r="Q21" s="40" t="n"/>
      <c r="R21" s="40" t="n"/>
      <c r="S21" s="40" t="n"/>
      <c r="T21" s="40" t="n"/>
    </row>
    <row r="22" ht="15" customHeight="1">
      <c r="A22" s="38" t="n"/>
      <c r="B22" s="38" t="n"/>
      <c r="C22" s="38" t="n"/>
      <c r="D22" s="38" t="n"/>
      <c r="E22" s="38" t="n"/>
      <c r="F22" s="38" t="n"/>
      <c r="G22" s="38" t="n"/>
      <c r="H22" s="38" t="inlineStr">
        <is>
          <t>שמאות מוקדמת</t>
        </is>
      </c>
      <c r="I22" s="41" t="n">
        <v>4680</v>
      </c>
      <c r="J22" s="38" t="inlineStr">
        <is>
          <t>שמאות מוקדמת</t>
        </is>
      </c>
      <c r="K22" s="41" t="n">
        <v>4680</v>
      </c>
      <c r="L22" s="38" t="n"/>
      <c r="M22" s="38" t="n"/>
      <c r="N22" s="38" t="n"/>
      <c r="O22" s="38" t="n"/>
      <c r="P22" s="38" t="n"/>
      <c r="Q22" s="38" t="n"/>
      <c r="R22" s="38" t="n"/>
      <c r="S22" s="38" t="n"/>
      <c r="T22" s="38" t="n"/>
    </row>
    <row r="23" ht="15" customHeight="1">
      <c r="A23" s="40" t="n"/>
      <c r="B23" s="40" t="n"/>
      <c r="C23" s="40" t="n"/>
      <c r="D23" s="40" t="n"/>
      <c r="E23" s="40" t="n"/>
      <c r="F23" s="40" t="n"/>
      <c r="G23" s="40" t="n"/>
      <c r="H23" s="40" t="inlineStr">
        <is>
          <t>אישור נוטריוני</t>
        </is>
      </c>
      <c r="I23" s="43" t="n">
        <v>303</v>
      </c>
      <c r="J23" s="40" t="inlineStr">
        <is>
          <t>אישור נוטריוני</t>
        </is>
      </c>
      <c r="K23" s="43" t="n">
        <v>303</v>
      </c>
      <c r="L23" s="40" t="n"/>
      <c r="M23" s="40" t="n"/>
      <c r="N23" s="40" t="n"/>
      <c r="O23" s="40" t="n"/>
      <c r="P23" s="40" t="n"/>
      <c r="Q23" s="40" t="n"/>
      <c r="R23" s="40" t="n"/>
      <c r="S23" s="40" t="n"/>
      <c r="T23" s="40" t="n"/>
    </row>
    <row r="24" ht="15" customHeight="1">
      <c r="A24" s="38" t="n"/>
      <c r="B24" s="38" t="n"/>
      <c r="C24" s="38" t="n"/>
      <c r="D24" s="38" t="n"/>
      <c r="E24" s="38" t="n"/>
      <c r="F24" s="38" t="n"/>
      <c r="G24" s="38" t="n"/>
      <c r="H24" s="38" t="inlineStr">
        <is>
          <t>יועצת משכנתא</t>
        </is>
      </c>
      <c r="I24" s="41" t="n">
        <v>4000</v>
      </c>
      <c r="J24" s="38" t="inlineStr">
        <is>
          <t>יועצת משכנתא</t>
        </is>
      </c>
      <c r="K24" s="41" t="n">
        <v>3978</v>
      </c>
      <c r="L24" s="38" t="n"/>
      <c r="M24" s="38" t="n"/>
      <c r="N24" s="38" t="n"/>
      <c r="O24" s="38" t="n"/>
      <c r="P24" s="38" t="n"/>
      <c r="Q24" s="38" t="n"/>
      <c r="R24" s="38" t="n"/>
      <c r="S24" s="38" t="n"/>
      <c r="T24" s="38" t="n"/>
    </row>
    <row r="25" ht="15" customHeight="1">
      <c r="A25" s="40" t="n"/>
      <c r="B25" s="40" t="n"/>
      <c r="C25" s="40" t="n"/>
      <c r="D25" s="40" t="n"/>
      <c r="E25" s="40" t="n"/>
      <c r="F25" s="40" t="n"/>
      <c r="G25" s="40" t="n"/>
      <c r="H25" s="40" t="inlineStr">
        <is>
          <t>בדק בית</t>
        </is>
      </c>
      <c r="I25" s="44" t="n">
        <v>5000</v>
      </c>
      <c r="J25" s="40" t="inlineStr">
        <is>
          <t>בדק בית</t>
        </is>
      </c>
      <c r="K25" s="44" t="n">
        <v>2000</v>
      </c>
      <c r="L25" s="40" t="n"/>
      <c r="M25" s="40" t="n"/>
      <c r="N25" s="40" t="n"/>
      <c r="O25" s="40" t="n"/>
      <c r="P25" s="40" t="n"/>
      <c r="Q25" s="40" t="n"/>
      <c r="R25" s="40" t="n"/>
      <c r="S25" s="40" t="n"/>
      <c r="T25" s="40" t="n"/>
    </row>
    <row r="26" ht="15" customHeight="1">
      <c r="A26" s="38" t="n"/>
      <c r="B26" s="38" t="n"/>
      <c r="C26" s="38" t="n"/>
      <c r="D26" s="38" t="n"/>
      <c r="E26" s="38" t="n"/>
      <c r="F26" s="38" t="n"/>
      <c r="G26" s="38" t="n"/>
      <c r="H26" s="38" t="inlineStr">
        <is>
          <t>הובלה</t>
        </is>
      </c>
      <c r="I26" s="41" t="n">
        <v>4000</v>
      </c>
      <c r="J26" s="38" t="n"/>
      <c r="K26" s="41" t="n">
        <v>3400</v>
      </c>
      <c r="L26" s="38" t="n"/>
      <c r="M26" s="38" t="n"/>
      <c r="N26" s="38" t="n"/>
      <c r="O26" s="38" t="n"/>
      <c r="P26" s="38" t="n"/>
      <c r="Q26" s="38" t="n"/>
      <c r="R26" s="38" t="n"/>
      <c r="S26" s="38" t="n"/>
      <c r="T26" s="38" t="n"/>
    </row>
    <row r="27" ht="15" customHeight="1">
      <c r="A27" s="40" t="n"/>
      <c r="B27" s="40" t="n"/>
      <c r="C27" s="40" t="n"/>
      <c r="D27" s="40" t="n"/>
      <c r="E27" s="40" t="n"/>
      <c r="F27" s="40" t="n"/>
      <c r="G27" s="40" t="n"/>
      <c r="H27" s="40" t="inlineStr">
        <is>
          <t xml:space="preserve">הוצאות נוספות </t>
        </is>
      </c>
      <c r="I27" s="44" t="n">
        <v>20000</v>
      </c>
      <c r="J27" s="40" t="n"/>
      <c r="K27" s="40" t="n"/>
      <c r="L27" s="40" t="n"/>
      <c r="M27" s="40" t="n"/>
      <c r="N27" s="40" t="n"/>
      <c r="O27" s="40" t="n"/>
      <c r="P27" s="40" t="n"/>
      <c r="Q27" s="40" t="n"/>
      <c r="R27" s="40" t="n"/>
      <c r="S27" s="40" t="n"/>
      <c r="T27" s="40" t="n"/>
    </row>
    <row r="28" ht="15" customHeight="1">
      <c r="A28" s="38" t="n"/>
      <c r="B28" s="38" t="n"/>
      <c r="C28" s="38" t="n"/>
      <c r="D28" s="38" t="n"/>
      <c r="E28" s="38" t="n"/>
      <c r="F28" s="38" t="n"/>
      <c r="G28" s="38" t="n"/>
      <c r="H28" s="38" t="inlineStr">
        <is>
          <t>מקדם ביטחון (ליום סגריר)</t>
        </is>
      </c>
      <c r="I28" s="41" t="n">
        <v>75000</v>
      </c>
      <c r="J28" s="38" t="n"/>
      <c r="K28" s="38" t="n"/>
      <c r="L28" s="38" t="n"/>
      <c r="M28" s="38" t="n"/>
      <c r="N28" s="38" t="n"/>
      <c r="O28" s="38" t="n"/>
      <c r="P28" s="38" t="n"/>
      <c r="Q28" s="38" t="n"/>
      <c r="R28" s="38" t="n"/>
      <c r="S28" s="38" t="n"/>
      <c r="T28" s="38" t="n"/>
    </row>
    <row r="29" ht="15" customHeight="1">
      <c r="A29" s="40" t="n"/>
      <c r="B29" s="40" t="n"/>
      <c r="C29" s="40" t="n"/>
      <c r="D29" s="40" t="n"/>
      <c r="E29" s="40" t="n"/>
      <c r="F29" s="40" t="n"/>
      <c r="G29" s="40" t="n"/>
      <c r="H29" s="40" t="inlineStr">
        <is>
          <t>סה"כ</t>
        </is>
      </c>
      <c r="I29" s="44" t="n">
        <v>291739.44</v>
      </c>
      <c r="J29" s="40" t="n"/>
      <c r="K29" s="44" t="n">
        <v>175296.4</v>
      </c>
      <c r="L29" s="40" t="n"/>
      <c r="M29" s="40" t="n"/>
      <c r="N29" s="40" t="n"/>
      <c r="O29" s="40" t="n"/>
      <c r="P29" s="40" t="n"/>
      <c r="Q29" s="40" t="n"/>
      <c r="R29" s="40" t="n"/>
      <c r="S29" s="40" t="n"/>
      <c r="T29" s="40" t="n"/>
    </row>
    <row r="30" ht="15" customHeight="1"/>
    <row r="31" ht="15" customHeight="1">
      <c r="A31" s="40" t="n"/>
      <c r="B31" s="40" t="n"/>
      <c r="C31" s="40" t="n"/>
      <c r="D31" s="40" t="n"/>
      <c r="E31" s="40" t="n"/>
      <c r="F31" s="40" t="n"/>
      <c r="G31" s="40" t="n"/>
      <c r="H31" s="40" t="n"/>
      <c r="I31" s="40" t="n"/>
      <c r="J31" s="40" t="n"/>
      <c r="K31" s="40" t="inlineStr">
        <is>
          <t>מעבר דירה</t>
        </is>
      </c>
      <c r="L31" s="40" t="inlineStr">
        <is>
          <t>עליוות</t>
        </is>
      </c>
      <c r="M31" s="40" t="n"/>
      <c r="N31" s="40" t="n"/>
      <c r="O31" s="40" t="n"/>
      <c r="P31" s="40" t="n"/>
      <c r="Q31" s="40" t="n"/>
      <c r="R31" s="40" t="n"/>
      <c r="S31" s="40" t="n"/>
      <c r="T31" s="40" t="n"/>
    </row>
    <row r="32" ht="15" customHeight="1">
      <c r="A32" s="38" t="n"/>
      <c r="B32" s="38" t="n"/>
      <c r="C32" s="38" t="n"/>
      <c r="D32" s="38" t="n"/>
      <c r="E32" s="38" t="n"/>
      <c r="F32" s="38" t="n"/>
      <c r="G32" s="38" t="n"/>
      <c r="H32" s="38" t="n"/>
      <c r="I32" s="38" t="n"/>
      <c r="J32" s="38" t="n"/>
      <c r="K32" s="38" t="inlineStr">
        <is>
          <t>רהיטים</t>
        </is>
      </c>
      <c r="L32" s="41" t="n">
        <v>2800</v>
      </c>
      <c r="M32" s="38" t="n"/>
      <c r="N32" s="38" t="n"/>
      <c r="O32" s="38" t="n"/>
      <c r="P32" s="38" t="n"/>
      <c r="Q32" s="38" t="n"/>
      <c r="R32" s="38" t="n"/>
      <c r="S32" s="38" t="n"/>
      <c r="T32" s="38" t="n"/>
    </row>
    <row r="33" ht="15" customHeight="1">
      <c r="A33" s="40" t="n"/>
      <c r="B33" s="40" t="n"/>
      <c r="C33" s="40" t="n"/>
      <c r="D33" s="40" t="n"/>
      <c r="E33" s="40" t="n"/>
      <c r="F33" s="40" t="n"/>
      <c r="G33" s="40" t="n"/>
      <c r="H33" s="40" t="n"/>
      <c r="I33" s="40" t="n"/>
      <c r="J33" s="40" t="n"/>
      <c r="K33" s="40" t="inlineStr">
        <is>
          <t>הובלה</t>
        </is>
      </c>
      <c r="L33" s="44" t="n">
        <v>3400</v>
      </c>
      <c r="M33" s="40" t="n"/>
      <c r="N33" s="40" t="n"/>
      <c r="O33" s="40" t="n"/>
      <c r="P33" s="40" t="n"/>
      <c r="Q33" s="40" t="n"/>
      <c r="R33" s="40" t="n"/>
      <c r="S33" s="40" t="n"/>
      <c r="T33" s="40" t="n"/>
    </row>
    <row r="34" ht="15" customHeight="1">
      <c r="A34" s="38" t="n"/>
      <c r="B34" s="38" t="n"/>
      <c r="C34" s="38" t="n"/>
      <c r="D34" s="38" t="n"/>
      <c r="E34" s="38" t="n"/>
      <c r="F34" s="38" t="n"/>
      <c r="G34" s="38" t="n"/>
      <c r="H34" s="38" t="n"/>
      <c r="I34" s="38" t="n"/>
      <c r="J34" s="38" t="n"/>
      <c r="K34" s="38" t="inlineStr">
        <is>
          <t>מקססטוק</t>
        </is>
      </c>
      <c r="L34" s="42" t="n">
        <v>500</v>
      </c>
      <c r="M34" s="38" t="n"/>
      <c r="N34" s="38" t="n"/>
      <c r="O34" s="38" t="n"/>
      <c r="P34" s="38" t="n"/>
      <c r="Q34" s="38" t="n"/>
      <c r="R34" s="38" t="n"/>
      <c r="S34" s="38" t="n"/>
      <c r="T34" s="38" t="n"/>
    </row>
    <row r="35" ht="15" customHeight="1">
      <c r="A35" s="40" t="n"/>
      <c r="B35" s="40" t="n"/>
      <c r="C35" s="40" t="n"/>
      <c r="D35" s="40" t="n"/>
      <c r="E35" s="40" t="n"/>
      <c r="F35" s="40" t="n"/>
      <c r="G35" s="40" t="n"/>
      <c r="H35" s="40" t="n"/>
      <c r="I35" s="40" t="n"/>
      <c r="J35" s="40" t="n"/>
      <c r="K35" s="40" t="inlineStr">
        <is>
          <t>מאוורר</t>
        </is>
      </c>
      <c r="L35" s="44" t="n">
        <v>1000</v>
      </c>
      <c r="M35" s="40" t="n"/>
      <c r="N35" s="40" t="n"/>
      <c r="O35" s="40" t="n"/>
      <c r="P35" s="40" t="n"/>
      <c r="Q35" s="40" t="n"/>
      <c r="R35" s="40" t="n"/>
      <c r="S35" s="40" t="n"/>
      <c r="T35" s="40" t="n"/>
    </row>
    <row r="36" ht="15" customHeight="1">
      <c r="A36" s="38" t="n"/>
      <c r="B36" s="38" t="n"/>
      <c r="C36" s="38" t="n"/>
      <c r="D36" s="38" t="n"/>
      <c r="E36" s="38" t="n"/>
      <c r="F36" s="38" t="n"/>
      <c r="G36" s="38" t="n"/>
      <c r="H36" s="38" t="n"/>
      <c r="I36" s="38" t="n"/>
      <c r="J36" s="38" t="n"/>
      <c r="K36" s="38" t="inlineStr">
        <is>
          <t>כלי עבודה</t>
        </is>
      </c>
      <c r="L36" s="41" t="n">
        <v>1150</v>
      </c>
      <c r="M36" s="38" t="n"/>
      <c r="N36" s="38" t="n"/>
      <c r="O36" s="38" t="n"/>
      <c r="P36" s="38" t="n"/>
      <c r="Q36" s="38" t="n"/>
      <c r="R36" s="38" t="n"/>
      <c r="S36" s="38" t="n"/>
      <c r="T36" s="38" t="n"/>
    </row>
    <row r="37" ht="15" customHeight="1">
      <c r="A37" s="40" t="n"/>
      <c r="B37" s="40" t="n"/>
      <c r="C37" s="40" t="n"/>
      <c r="D37" s="40" t="n"/>
      <c r="E37" s="40" t="n"/>
      <c r="F37" s="40" t="n"/>
      <c r="G37" s="40" t="n"/>
      <c r="H37" s="40" t="n"/>
      <c r="I37" s="40" t="n"/>
      <c r="J37" s="40" t="n"/>
      <c r="K37" s="40" t="inlineStr">
        <is>
          <t>מחסן</t>
        </is>
      </c>
      <c r="L37" s="44" t="n">
        <v>8100</v>
      </c>
      <c r="M37" s="40" t="n"/>
      <c r="N37" s="40" t="n"/>
      <c r="O37" s="40" t="n"/>
      <c r="P37" s="40" t="n"/>
      <c r="Q37" s="40" t="n"/>
      <c r="R37" s="40" t="n"/>
      <c r="S37" s="40" t="n"/>
      <c r="T37" s="40" t="n"/>
    </row>
    <row r="38" ht="15" customHeight="1">
      <c r="A38" s="38" t="n"/>
      <c r="B38" s="38" t="n"/>
      <c r="C38" s="38" t="n"/>
      <c r="D38" s="38" t="n"/>
      <c r="E38" s="38" t="n"/>
      <c r="F38" s="38" t="n"/>
      <c r="G38" s="38" t="n"/>
      <c r="H38" s="38" t="n"/>
      <c r="I38" s="38" t="n"/>
      <c r="J38" s="38" t="n"/>
      <c r="K38" s="38" t="inlineStr">
        <is>
          <t>סה"כ</t>
        </is>
      </c>
      <c r="L38" s="41" t="n">
        <v>16950</v>
      </c>
      <c r="M38" s="38" t="n"/>
      <c r="N38" s="38" t="n"/>
      <c r="O38" s="38" t="n"/>
      <c r="P38" s="38" t="n"/>
      <c r="Q38" s="38" t="n"/>
      <c r="R38" s="38" t="n"/>
      <c r="S38" s="38" t="n"/>
      <c r="T38" s="38" t="n"/>
    </row>
  </sheetData>
  <mergeCells count="1">
    <mergeCell ref="I17:K1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6"/>
  <sheetViews>
    <sheetView rightToLeft="1" workbookViewId="0">
      <pane ySplit="1" topLeftCell="A2" activePane="bottomLeft" state="frozen"/>
      <selection pane="bottomLeft" activeCell="A1" sqref="A1"/>
    </sheetView>
  </sheetViews>
  <sheetFormatPr baseColWidth="8" defaultRowHeight="15"/>
  <cols>
    <col width="14" customWidth="1" min="3" max="3"/>
    <col width="9.875" customWidth="1" min="4" max="4"/>
    <col width="9.125" customWidth="1" min="5" max="5"/>
    <col width="5.5" customWidth="1" min="6" max="6"/>
    <col width="11.875" customWidth="1" min="7" max="7"/>
    <col width="15.625" customWidth="1" min="8" max="8"/>
  </cols>
  <sheetData>
    <row r="1" ht="15" customHeight="1">
      <c r="A1" s="46" t="inlineStr">
        <is>
          <t>מחשבון דמי ניהול</t>
        </is>
      </c>
    </row>
    <row r="2" ht="15" customHeight="1"/>
    <row r="3" ht="15" customHeight="1"/>
    <row r="4" ht="15" customHeight="1"/>
    <row r="5" ht="15" customHeight="1">
      <c r="A5" s="40" t="inlineStr">
        <is>
          <t>מס' שנים עד הפרישה</t>
        </is>
      </c>
      <c r="C5" s="40" t="inlineStr">
        <is>
          <t>צבירה</t>
        </is>
      </c>
      <c r="E5" s="40" t="inlineStr">
        <is>
          <t>הפקדה חודשית</t>
        </is>
      </c>
      <c r="G5" s="40" t="inlineStr">
        <is>
          <t>תשואה</t>
        </is>
      </c>
      <c r="H5" s="40" t="inlineStr">
        <is>
          <t>יתרה ללא דמי ניהול</t>
        </is>
      </c>
    </row>
    <row r="6" ht="18" customHeight="1">
      <c r="A6" s="42" t="n">
        <v>23</v>
      </c>
      <c r="C6" s="41" t="n">
        <v>600000</v>
      </c>
      <c r="E6" s="41" t="n">
        <v>5000</v>
      </c>
      <c r="G6" s="42" t="n">
        <v>0.04</v>
      </c>
      <c r="H6" s="41" t="n">
        <v>3715897.084200514</v>
      </c>
    </row>
    <row r="7" ht="18" customHeight="1">
      <c r="A7" s="40" t="inlineStr">
        <is>
          <t>אפשרות</t>
        </is>
      </c>
      <c r="C7" s="40" t="inlineStr">
        <is>
          <t>מהפקדה</t>
        </is>
      </c>
      <c r="D7" s="40" t="inlineStr">
        <is>
          <t>מצבירה</t>
        </is>
      </c>
      <c r="E7" s="40" t="inlineStr">
        <is>
          <t>יתרה סופית נטו</t>
        </is>
      </c>
      <c r="H7" s="40" t="inlineStr">
        <is>
          <t>סה"כ דמי ניהול</t>
        </is>
      </c>
    </row>
    <row r="8" ht="18" customHeight="1"/>
    <row r="9" ht="20.25" customHeight="1">
      <c r="A9" s="40" t="inlineStr">
        <is>
          <t>מצב קיים</t>
        </is>
      </c>
      <c r="C9" s="43" t="n">
        <v>0.0175</v>
      </c>
      <c r="D9" s="43" t="n">
        <v>0.0008</v>
      </c>
      <c r="E9" s="44" t="n">
        <v>3628678.870098467</v>
      </c>
      <c r="H9" s="44" t="n">
        <v>87218.2141020475</v>
      </c>
    </row>
    <row r="10" ht="20.25" customHeight="1"/>
    <row r="11" ht="15" customHeight="1">
      <c r="A11" s="40" t="inlineStr">
        <is>
          <t>אלטרנטיבה 1</t>
        </is>
      </c>
      <c r="C11" s="43" t="n">
        <v>0.015</v>
      </c>
      <c r="D11" s="43" t="n">
        <v>0.0005</v>
      </c>
      <c r="E11" s="44" t="n">
        <v>3652180.257567967</v>
      </c>
      <c r="H11" s="44" t="n">
        <v>63716.82663254719</v>
      </c>
    </row>
    <row r="12" ht="15" customHeight="1"/>
    <row r="13" ht="15" customHeight="1">
      <c r="A13" s="40" t="inlineStr">
        <is>
          <t xml:space="preserve">אלטרנטיבה 2 </t>
        </is>
      </c>
      <c r="C13" s="43" t="n">
        <v>0.01</v>
      </c>
      <c r="D13" s="43" t="n">
        <v>0.0018</v>
      </c>
      <c r="E13" s="44" t="n">
        <v>3585969.996743705</v>
      </c>
      <c r="H13" s="44" t="n">
        <v>129927.0874568094</v>
      </c>
    </row>
    <row r="14" ht="15" customHeight="1"/>
    <row r="15" ht="15" customHeight="1">
      <c r="A15" s="40" t="inlineStr">
        <is>
          <t>אלטרנטיבה 3</t>
        </is>
      </c>
      <c r="C15" s="43" t="n">
        <v>0.006</v>
      </c>
      <c r="D15" s="43" t="n">
        <v>0.0012</v>
      </c>
      <c r="E15" s="44" t="n">
        <v>3630244.622598083</v>
      </c>
      <c r="H15" s="44" t="n">
        <v>85652.46160243172</v>
      </c>
    </row>
    <row r="16" ht="15" customHeight="1"/>
    <row r="17" ht="15" customHeight="1"/>
    <row r="18" ht="15" customHeight="1">
      <c r="A18" s="38" t="inlineStr">
        <is>
          <t>תשואה חודשית נטו</t>
        </is>
      </c>
      <c r="B18" s="38" t="inlineStr">
        <is>
          <t>משך</t>
        </is>
      </c>
      <c r="C18" s="38" t="inlineStr">
        <is>
          <t>הפרשה חודשית נטו</t>
        </is>
      </c>
      <c r="D18" s="38" t="n"/>
      <c r="E18" s="38" t="n"/>
      <c r="F18" s="38" t="n"/>
      <c r="G18" s="38" t="n"/>
      <c r="H18" s="38" t="n"/>
    </row>
    <row r="19" ht="15" customHeight="1">
      <c r="A19" s="43" t="n">
        <v>0.003209404677582128</v>
      </c>
      <c r="B19" s="43" t="n">
        <v>276</v>
      </c>
      <c r="C19" s="44" t="n">
        <v>4912.5</v>
      </c>
      <c r="D19" s="40" t="n"/>
      <c r="E19" s="40" t="n"/>
      <c r="F19" s="40" t="n"/>
      <c r="G19" s="40" t="n"/>
      <c r="H19" s="40" t="n"/>
    </row>
    <row r="20" ht="15" customHeight="1">
      <c r="A20" s="42" t="n">
        <v>0.003233535660337905</v>
      </c>
      <c r="B20" s="42" t="n">
        <v>276</v>
      </c>
      <c r="C20" s="41" t="n">
        <v>4925</v>
      </c>
      <c r="D20" s="38" t="n"/>
      <c r="E20" s="38" t="n"/>
      <c r="F20" s="38" t="n"/>
      <c r="G20" s="38" t="n"/>
      <c r="H20" s="38" t="n"/>
    </row>
    <row r="21" ht="18" customHeight="1">
      <c r="A21" s="43" t="n">
        <v>0.003128921923478689</v>
      </c>
      <c r="B21" s="43" t="n">
        <v>276</v>
      </c>
      <c r="C21" s="44" t="n">
        <v>4950</v>
      </c>
      <c r="D21" s="40" t="n"/>
      <c r="E21" s="40" t="n"/>
      <c r="F21" s="40" t="n"/>
      <c r="G21" s="40" t="n"/>
      <c r="H21" s="40" t="n"/>
    </row>
    <row r="22" ht="18" customHeight="1">
      <c r="A22" s="42" t="n">
        <v>0.003177220098669942</v>
      </c>
      <c r="B22" s="42" t="n">
        <v>276</v>
      </c>
      <c r="C22" s="41" t="n">
        <v>4970</v>
      </c>
      <c r="D22" s="38" t="n"/>
      <c r="E22" s="38" t="n"/>
      <c r="F22" s="38" t="n"/>
      <c r="G22" s="38" t="n"/>
      <c r="H22" s="38" t="n"/>
    </row>
    <row r="23" ht="15" customHeight="1"/>
    <row r="24" ht="15" customHeight="1"/>
    <row r="25" ht="15" customHeight="1"/>
    <row r="26" ht="15" customHeight="1"/>
  </sheetData>
  <mergeCells count="32">
    <mergeCell ref="C6:D6"/>
    <mergeCell ref="H9:H10"/>
    <mergeCell ref="C5:D5"/>
    <mergeCell ref="E5:F5"/>
    <mergeCell ref="D11:D12"/>
    <mergeCell ref="H11:H12"/>
    <mergeCell ref="A6:B6"/>
    <mergeCell ref="C9:C10"/>
    <mergeCell ref="A13:B14"/>
    <mergeCell ref="D13:D14"/>
    <mergeCell ref="D7:D8"/>
    <mergeCell ref="H7:H8"/>
    <mergeCell ref="C11:C12"/>
    <mergeCell ref="E13:G14"/>
    <mergeCell ref="A9:B10"/>
    <mergeCell ref="D15:D16"/>
    <mergeCell ref="H13:H14"/>
    <mergeCell ref="D9:D10"/>
    <mergeCell ref="E6:F6"/>
    <mergeCell ref="A15:B16"/>
    <mergeCell ref="A5:B5"/>
    <mergeCell ref="A11:B12"/>
    <mergeCell ref="C7:C8"/>
    <mergeCell ref="E9:G10"/>
    <mergeCell ref="H15:H16"/>
    <mergeCell ref="E15:G16"/>
    <mergeCell ref="C13:C14"/>
    <mergeCell ref="E11:G12"/>
    <mergeCell ref="A7:B8"/>
    <mergeCell ref="A1:H4"/>
    <mergeCell ref="C15:C16"/>
    <mergeCell ref="E7:G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53"/>
  <sheetViews>
    <sheetView rightToLeft="1" workbookViewId="0">
      <pane ySplit="1" topLeftCell="A2" activePane="bottomLeft" state="frozen"/>
      <selection pane="bottomLeft" activeCell="A1" sqref="A1"/>
    </sheetView>
  </sheetViews>
  <sheetFormatPr baseColWidth="8" defaultRowHeight="15"/>
  <cols>
    <col width="20.875" customWidth="1" min="1" max="1"/>
    <col width="17.875" customWidth="1" min="2" max="2"/>
    <col width="12.875" customWidth="1" min="14" max="14"/>
    <col width="34.375" customWidth="1" min="15" max="15"/>
    <col width="16.25" customWidth="1" min="16" max="16"/>
    <col width="16.125" customWidth="1" min="17" max="17"/>
    <col width="10.125" customWidth="1" min="18" max="18"/>
    <col width="7.375" customWidth="1" min="19" max="19"/>
    <col width="12.5" customWidth="1" min="21" max="21"/>
    <col width="9.375" customWidth="1" min="22" max="22"/>
    <col width="10.375" customWidth="1" min="23" max="23"/>
    <col width="15.875" customWidth="1" min="24" max="24"/>
    <col width="19.625" customWidth="1" min="25" max="25"/>
  </cols>
  <sheetData>
    <row r="1" ht="15" customHeight="1"/>
    <row r="2" ht="15" customHeight="1"/>
    <row r="3" ht="15" customHeight="1">
      <c r="A3" s="46" t="inlineStr">
        <is>
          <t>תיק השקעות מצוי</t>
        </is>
      </c>
      <c r="M3" s="40" t="n"/>
      <c r="N3" s="46" t="inlineStr">
        <is>
          <t xml:space="preserve">חשוב: תוכן קובץ אינו מהווה תחליף לייעוץ המתחשב בנתונים ובצרכים המיוחדים של כל אדם. הקובץ נוצר למטרות לימודיות והאחריות על השימוש בו הוא על המשתמש בלבד. ליוצר הקובץ עשוי להיות ענין אישי בנושאים המפורטים בקובץ שכן עשוי להיות מושקע בעצמו בניירות ערך ובנכסים הפיננסיים המוזכרים בקובץ. השקעות מכל סוג תמיד כרוכות בסיכון. </t>
        </is>
      </c>
    </row>
    <row r="4" ht="15" customHeight="1"/>
    <row r="5" ht="15" customHeight="1"/>
    <row r="6" ht="15" customHeight="1">
      <c r="M6" s="38" t="n"/>
      <c r="N6" s="38" t="inlineStr">
        <is>
          <t>ברכות לרגל סיום התוכנית האישית! אתם ממש קרובים לתיק ההשקעות שלכם.</t>
        </is>
      </c>
    </row>
    <row r="7" ht="15" customHeight="1">
      <c r="A7" s="40" t="inlineStr">
        <is>
          <t>מוצר</t>
        </is>
      </c>
      <c r="B7" s="40" t="inlineStr">
        <is>
          <t>צבירה</t>
        </is>
      </c>
      <c r="C7" s="40" t="inlineStr">
        <is>
          <t>מסלול</t>
        </is>
      </c>
      <c r="D7" s="40" t="inlineStr">
        <is>
          <t>דמי ניהול מצבירה</t>
        </is>
      </c>
      <c r="F7" s="40" t="inlineStr">
        <is>
          <t>דמי ניהול מהפקדה</t>
        </is>
      </c>
      <c r="H7" s="40" t="inlineStr">
        <is>
          <t>איפה?</t>
        </is>
      </c>
      <c r="J7" s="40" t="inlineStr">
        <is>
          <t>הערות</t>
        </is>
      </c>
      <c r="M7" s="40" t="n"/>
    </row>
    <row r="8" ht="15" customHeight="1"/>
    <row r="9" ht="20.25" customHeight="1">
      <c r="A9" s="40" t="inlineStr">
        <is>
          <t xml:space="preserve"> פנסיה </t>
        </is>
      </c>
      <c r="B9" s="44" t="n">
        <v>570000</v>
      </c>
      <c r="C9" s="40" t="inlineStr">
        <is>
          <t>S&amp;P 500</t>
        </is>
      </c>
      <c r="D9" s="43" t="n">
        <v>0.0008</v>
      </c>
      <c r="F9" s="43" t="n">
        <v>0.0175</v>
      </c>
      <c r="H9" s="40" t="inlineStr">
        <is>
          <t>כלל</t>
        </is>
      </c>
      <c r="J9" s="40" t="n"/>
      <c r="M9" s="40" t="n"/>
      <c r="N9" s="40" t="inlineStr">
        <is>
          <t>חברה מנהלת</t>
        </is>
      </c>
      <c r="P9" s="40" t="inlineStr">
        <is>
          <t>שם הקרן</t>
        </is>
      </c>
      <c r="R9" s="40" t="inlineStr">
        <is>
          <t>במה היא מושקעת?</t>
        </is>
      </c>
      <c r="T9" s="40" t="inlineStr">
        <is>
          <t>סימול/מס' נייר</t>
        </is>
      </c>
      <c r="V9" s="40" t="inlineStr">
        <is>
          <t>דמי ניהול</t>
        </is>
      </c>
      <c r="X9" s="40" t="inlineStr">
        <is>
          <t>מחלקת/צוברת דיבידנדים</t>
        </is>
      </c>
      <c r="Z9" s="40" t="inlineStr">
        <is>
          <t>סוג קרן</t>
        </is>
      </c>
      <c r="AA9" s="40" t="inlineStr">
        <is>
          <t>איפה נסחרת</t>
        </is>
      </c>
      <c r="AB9" s="40" t="inlineStr">
        <is>
          <t>לינק</t>
        </is>
      </c>
    </row>
    <row r="10" ht="20.25" customHeight="1">
      <c r="A10" s="38" t="inlineStr">
        <is>
          <t>השתלמות כללי</t>
        </is>
      </c>
      <c r="B10" s="41" t="n">
        <v>167500</v>
      </c>
      <c r="C10" s="38" t="inlineStr">
        <is>
          <t>השתלמות משולב סחיר</t>
        </is>
      </c>
      <c r="D10" s="42" t="n">
        <v>0.007</v>
      </c>
      <c r="F10" s="38" t="n">
        <v>0</v>
      </c>
      <c r="H10" s="38" t="inlineStr">
        <is>
          <t>אנליסט</t>
        </is>
      </c>
      <c r="J10" s="38" t="n"/>
      <c r="M10" s="38" t="n"/>
      <c r="N10" s="38" t="inlineStr">
        <is>
          <t>iShares</t>
        </is>
      </c>
      <c r="P10" s="38" t="inlineStr">
        <is>
          <t>iShares Core S&amp;P 500 UCITS ETF</t>
        </is>
      </c>
      <c r="R10" s="38" t="inlineStr">
        <is>
          <t>S&amp;P500</t>
        </is>
      </c>
      <c r="T10" s="41" t="n">
        <v>1159250</v>
      </c>
      <c r="V10" s="42" t="n">
        <v>0.0007</v>
      </c>
      <c r="X10" s="38" t="inlineStr">
        <is>
          <t>צוברת</t>
        </is>
      </c>
      <c r="Z10" s="38" t="inlineStr">
        <is>
          <t>אירית</t>
        </is>
      </c>
      <c r="AA10" s="38" t="inlineStr">
        <is>
          <t>ישראל</t>
        </is>
      </c>
      <c r="AB10" s="38" t="inlineStr">
        <is>
          <t>https://www.blackrock.com/il/individual/en/products/253743/ishares-sp-500-b-ucits-etf-acc-fund</t>
        </is>
      </c>
    </row>
    <row r="11" ht="20.25" customHeight="1">
      <c r="A11" s="40" t="inlineStr">
        <is>
          <t>השתלמות לא פעיל</t>
        </is>
      </c>
      <c r="B11" s="44" t="n">
        <v>52400</v>
      </c>
      <c r="C11" s="40" t="inlineStr">
        <is>
          <t>השתלמות משולב סחיר</t>
        </is>
      </c>
      <c r="D11" s="43" t="n">
        <v>0.007</v>
      </c>
      <c r="F11" s="40" t="n">
        <v>0</v>
      </c>
      <c r="H11" s="40" t="inlineStr">
        <is>
          <t>אנליסט</t>
        </is>
      </c>
      <c r="J11" s="40" t="n"/>
      <c r="M11" s="40" t="n"/>
      <c r="N11" s="40" t="inlineStr">
        <is>
          <t>iShares</t>
        </is>
      </c>
      <c r="P11" s="40" t="inlineStr">
        <is>
          <t>iShares MSCI ACWI UCITS ETF</t>
        </is>
      </c>
      <c r="R11" s="40" t="inlineStr">
        <is>
          <t>מדד מניות עולמי ACWI</t>
        </is>
      </c>
      <c r="T11" s="44" t="n">
        <v>1159235</v>
      </c>
      <c r="V11" s="43" t="n">
        <v>0.002</v>
      </c>
      <c r="X11" s="40" t="inlineStr">
        <is>
          <t>צוברת</t>
        </is>
      </c>
      <c r="Z11" s="40" t="inlineStr">
        <is>
          <t>אירית</t>
        </is>
      </c>
      <c r="AA11" s="40" t="inlineStr">
        <is>
          <t>ישראל</t>
        </is>
      </c>
      <c r="AB11" s="40" t="inlineStr">
        <is>
          <t>https://www.blackrock.com/il/individual/en/products/251850/ishares-msci-acwi-ucits-etf</t>
        </is>
      </c>
    </row>
    <row r="12" ht="20.25" customHeight="1">
      <c r="A12" s="38" t="n"/>
      <c r="B12" s="38" t="n"/>
      <c r="C12" s="38" t="n"/>
      <c r="D12" s="38" t="n">
        <v>0</v>
      </c>
      <c r="F12" s="38" t="inlineStr">
        <is>
          <t>-</t>
        </is>
      </c>
      <c r="H12" s="38" t="n"/>
      <c r="J12" s="38" t="n"/>
      <c r="M12" s="38" t="n"/>
      <c r="N12" s="38" t="inlineStr">
        <is>
          <t>iShares</t>
        </is>
      </c>
      <c r="P12" s="38" t="inlineStr">
        <is>
          <t>iShares NASDAQ 100 UCITS ETF</t>
        </is>
      </c>
      <c r="R12" s="38" t="inlineStr">
        <is>
          <t>מדד נאסד''ק 100</t>
        </is>
      </c>
      <c r="T12" s="41" t="n">
        <v>1159243</v>
      </c>
      <c r="V12" s="42" t="n">
        <v>0.0033</v>
      </c>
      <c r="X12" s="38" t="inlineStr">
        <is>
          <t>צוברת</t>
        </is>
      </c>
      <c r="Z12" s="38" t="inlineStr">
        <is>
          <t>אירית</t>
        </is>
      </c>
      <c r="AA12" s="38" t="inlineStr">
        <is>
          <t>ישראל</t>
        </is>
      </c>
      <c r="AB12" s="38" t="inlineStr">
        <is>
          <t>https://www.blackrock.com/il/individual/en/products/253741/ishares-nasdaq-100-ucits-etf</t>
        </is>
      </c>
    </row>
    <row r="13" ht="20.25" customHeight="1">
      <c r="A13" s="40" t="n"/>
      <c r="B13" s="40" t="n"/>
      <c r="C13" s="40" t="n"/>
      <c r="D13" s="40" t="n">
        <v>0</v>
      </c>
      <c r="F13" s="40" t="inlineStr">
        <is>
          <t>-</t>
        </is>
      </c>
      <c r="H13" s="40" t="n"/>
      <c r="J13" s="40" t="n"/>
      <c r="M13" s="40" t="n"/>
      <c r="N13" s="40" t="inlineStr">
        <is>
          <t>INVESCO</t>
        </is>
      </c>
      <c r="P13" s="40" t="inlineStr">
        <is>
          <t>Invesco S&amp;P 500 UCITS ETF Acc</t>
        </is>
      </c>
      <c r="R13" s="40" t="inlineStr">
        <is>
          <t>S&amp;P500</t>
        </is>
      </c>
      <c r="T13" s="44" t="n">
        <v>1183441</v>
      </c>
      <c r="V13" s="43" t="n">
        <v>0.0009</v>
      </c>
      <c r="X13" s="40" t="inlineStr">
        <is>
          <t>צוברת</t>
        </is>
      </c>
      <c r="Z13" s="40" t="inlineStr">
        <is>
          <t>אירית</t>
        </is>
      </c>
      <c r="AA13" s="40" t="inlineStr">
        <is>
          <t>ישראל</t>
        </is>
      </c>
      <c r="AB13" s="40" t="inlineStr">
        <is>
          <t>https://www.invesco.com/fi/en/financial-products/etfs/invesco-sp-500-ucits-etf-acc.html</t>
        </is>
      </c>
    </row>
    <row r="14" ht="20.25" customHeight="1">
      <c r="A14" s="38" t="n"/>
      <c r="B14" s="38" t="n"/>
      <c r="C14" s="38" t="n"/>
      <c r="D14" s="38" t="n">
        <v>0</v>
      </c>
      <c r="F14" s="38" t="inlineStr">
        <is>
          <t>-</t>
        </is>
      </c>
      <c r="H14" s="38" t="n"/>
      <c r="J14" s="38" t="n"/>
      <c r="M14" s="38" t="n"/>
      <c r="N14" s="38" t="inlineStr">
        <is>
          <t>INVESCO</t>
        </is>
      </c>
      <c r="P14" s="38" t="inlineStr">
        <is>
          <t>Invesco MSCI World UCITS ETF Acc</t>
        </is>
      </c>
      <c r="R14" s="38" t="inlineStr">
        <is>
          <t>מדד מניות עולמי WORLD</t>
        </is>
      </c>
      <c r="T14" s="41" t="n">
        <v>1185164</v>
      </c>
      <c r="V14" s="42" t="n">
        <v>0.0022</v>
      </c>
      <c r="X14" s="38" t="inlineStr">
        <is>
          <t>צוברת</t>
        </is>
      </c>
      <c r="Z14" s="38" t="inlineStr">
        <is>
          <t>אירית</t>
        </is>
      </c>
      <c r="AA14" s="38" t="inlineStr">
        <is>
          <t>ישראל</t>
        </is>
      </c>
      <c r="AB14" s="38" t="inlineStr">
        <is>
          <t>https://www.invesco.com/uk/en/financial-products/etfs/invesco-msci-world-ucits-etf-acc.html#Overview</t>
        </is>
      </c>
    </row>
    <row r="15" ht="20.25" customHeight="1">
      <c r="A15" s="40" t="n"/>
      <c r="B15" s="40" t="n"/>
      <c r="C15" s="40" t="n"/>
      <c r="D15" s="40" t="n">
        <v>0</v>
      </c>
      <c r="F15" s="40" t="inlineStr">
        <is>
          <t>-</t>
        </is>
      </c>
      <c r="H15" s="40" t="n"/>
      <c r="J15" s="40" t="n"/>
      <c r="M15" s="40" t="n"/>
      <c r="N15" s="40" t="inlineStr">
        <is>
          <t>INVESCO</t>
        </is>
      </c>
      <c r="P15" s="40" t="inlineStr">
        <is>
          <t>Invesco NASDAQ-100 Swap UCITS ETF Acc</t>
        </is>
      </c>
      <c r="R15" s="40" t="inlineStr">
        <is>
          <t>מדד נאסד''ק 100</t>
        </is>
      </c>
      <c r="T15" s="44" t="n">
        <v>1186063</v>
      </c>
      <c r="V15" s="43" t="n">
        <v>0.002</v>
      </c>
      <c r="X15" s="40" t="inlineStr">
        <is>
          <t>צוברת</t>
        </is>
      </c>
      <c r="Z15" s="40" t="inlineStr">
        <is>
          <t>אירית</t>
        </is>
      </c>
      <c r="AA15" s="40" t="inlineStr">
        <is>
          <t>ישראל</t>
        </is>
      </c>
      <c r="AB15" s="40" t="inlineStr">
        <is>
          <t>https://www.invesco.com/il/en/financial-products/etfs/invesco-nasdaq-100-swap-ucits-etf-acc.html</t>
        </is>
      </c>
    </row>
    <row r="16" ht="20.25" customHeight="1">
      <c r="A16" s="38" t="n"/>
      <c r="B16" s="38" t="n"/>
      <c r="C16" s="38" t="n"/>
      <c r="D16" s="38" t="n">
        <v>0</v>
      </c>
      <c r="F16" s="38" t="inlineStr">
        <is>
          <t>-</t>
        </is>
      </c>
      <c r="H16" s="38" t="n"/>
      <c r="J16" s="38" t="n"/>
      <c r="M16" s="38" t="n"/>
      <c r="N16" s="38" t="inlineStr">
        <is>
          <t>INVESCO</t>
        </is>
      </c>
      <c r="P16" s="38" t="inlineStr">
        <is>
          <t>Invesco Russell 2000 UCITS ETF Acc</t>
        </is>
      </c>
      <c r="R16" s="38" t="inlineStr">
        <is>
          <t>מדד Russell 2000</t>
        </is>
      </c>
      <c r="T16" s="41" t="n">
        <v>1206895</v>
      </c>
      <c r="V16" s="42" t="n">
        <v>0.0025</v>
      </c>
      <c r="X16" s="38" t="inlineStr">
        <is>
          <t>צוברת</t>
        </is>
      </c>
      <c r="Z16" s="38" t="inlineStr">
        <is>
          <t>אירית</t>
        </is>
      </c>
      <c r="AA16" s="38" t="inlineStr">
        <is>
          <t>ישראל</t>
        </is>
      </c>
      <c r="AB16" s="38" t="inlineStr">
        <is>
          <t>https://www.invesco.com/uk/en/financial-products/etfs/invesco-russell-2000-ucits-etf-acc.html#Trading-%26-Security</t>
        </is>
      </c>
    </row>
    <row r="17" ht="20.25" customHeight="1">
      <c r="A17" s="40" t="n"/>
      <c r="B17" s="40" t="n"/>
      <c r="C17" s="40" t="n"/>
      <c r="D17" s="40" t="n">
        <v>0</v>
      </c>
      <c r="F17" s="40" t="inlineStr">
        <is>
          <t>-</t>
        </is>
      </c>
      <c r="H17" s="40" t="n"/>
      <c r="J17" s="40" t="n"/>
      <c r="M17" s="40" t="n"/>
      <c r="N17" s="40" t="inlineStr">
        <is>
          <t>תכלית</t>
        </is>
      </c>
      <c r="P17" s="40" t="inlineStr">
        <is>
          <t>תכלית סל תא 125</t>
        </is>
      </c>
      <c r="R17" s="40" t="inlineStr">
        <is>
          <t>מדד ת"א 125</t>
        </is>
      </c>
      <c r="T17" s="44" t="n">
        <v>1143718</v>
      </c>
      <c r="V17" s="43" t="n">
        <v>0.002</v>
      </c>
      <c r="X17" s="40" t="inlineStr">
        <is>
          <t>צוברת</t>
        </is>
      </c>
      <c r="Z17" s="40" t="inlineStr">
        <is>
          <t>ישראלית</t>
        </is>
      </c>
      <c r="AA17" s="40" t="inlineStr">
        <is>
          <t>ישראל</t>
        </is>
      </c>
      <c r="AB17" s="40" t="inlineStr">
        <is>
          <t>https://market.tase.co.il/he/market_data/etf/1143718/major_data</t>
        </is>
      </c>
    </row>
    <row r="18" ht="20.25" customHeight="1">
      <c r="A18" s="38" t="n"/>
      <c r="B18" s="38" t="n"/>
      <c r="C18" s="38" t="n"/>
      <c r="D18" s="38" t="inlineStr">
        <is>
          <t>-</t>
        </is>
      </c>
      <c r="F18" s="38" t="inlineStr">
        <is>
          <t>-</t>
        </is>
      </c>
      <c r="H18" s="38" t="n"/>
      <c r="J18" s="38" t="n"/>
      <c r="M18" s="38" t="n"/>
      <c r="N18" s="38" t="inlineStr">
        <is>
          <t>קסם</t>
        </is>
      </c>
      <c r="P18" s="38" t="inlineStr">
        <is>
          <t>קסם סל תא 35</t>
        </is>
      </c>
      <c r="R18" s="38" t="inlineStr">
        <is>
          <t>מדד ת"א 35</t>
        </is>
      </c>
      <c r="T18" s="41" t="n">
        <v>1146570</v>
      </c>
      <c r="V18" s="42" t="n">
        <v>0.0025</v>
      </c>
      <c r="X18" s="38" t="inlineStr">
        <is>
          <t>צוברת</t>
        </is>
      </c>
      <c r="Z18" s="38" t="inlineStr">
        <is>
          <t>ישראלית</t>
        </is>
      </c>
      <c r="AA18" s="38" t="inlineStr">
        <is>
          <t>ישראל</t>
        </is>
      </c>
      <c r="AB18" s="38" t="inlineStr">
        <is>
          <t>https://www.tase.co.il/he/market_data/etf/1146570/major_data</t>
        </is>
      </c>
    </row>
    <row r="19" ht="20.25" customHeight="1">
      <c r="A19" s="40" t="n"/>
      <c r="B19" s="40" t="n"/>
      <c r="C19" s="40" t="n"/>
      <c r="D19" s="40" t="inlineStr">
        <is>
          <t>-</t>
        </is>
      </c>
      <c r="F19" s="40" t="inlineStr">
        <is>
          <t>-</t>
        </is>
      </c>
      <c r="H19" s="40" t="n"/>
      <c r="J19" s="40" t="n"/>
      <c r="M19" s="40" t="n"/>
      <c r="N19" s="40" t="inlineStr">
        <is>
          <t>קסם</t>
        </is>
      </c>
      <c r="P19" s="40" t="inlineStr">
        <is>
          <t>קסם.ממשלתי כללי</t>
        </is>
      </c>
      <c r="R19" s="40" t="inlineStr">
        <is>
          <t>אג"ח ישראל - ממשלתי</t>
        </is>
      </c>
      <c r="T19" s="44" t="n">
        <v>1146646</v>
      </c>
      <c r="V19" s="43" t="n">
        <v>0.0015</v>
      </c>
      <c r="X19" s="40" t="inlineStr">
        <is>
          <t>צוברת</t>
        </is>
      </c>
      <c r="Z19" s="40" t="inlineStr">
        <is>
          <t>ישראלית</t>
        </is>
      </c>
      <c r="AA19" s="40" t="inlineStr">
        <is>
          <t>ישראל</t>
        </is>
      </c>
      <c r="AB19" s="40" t="inlineStr">
        <is>
          <t>https://market.tase.co.il/he/market_data/etf/1146646/major_data</t>
        </is>
      </c>
    </row>
    <row r="20" ht="20.25" customHeight="1">
      <c r="A20" s="38" t="inlineStr">
        <is>
          <t>תיק מסחר</t>
        </is>
      </c>
      <c r="B20" s="41" t="n">
        <v>24000</v>
      </c>
      <c r="C20" s="38" t="n"/>
      <c r="D20" s="38" t="inlineStr">
        <is>
          <t>-</t>
        </is>
      </c>
      <c r="F20" s="38" t="inlineStr">
        <is>
          <t>-</t>
        </is>
      </c>
      <c r="H20" s="38" t="n"/>
      <c r="J20" s="38" t="n"/>
      <c r="M20" s="38" t="n"/>
      <c r="N20" s="38" t="inlineStr">
        <is>
          <t>מגדל</t>
        </is>
      </c>
      <c r="P20" s="38" t="inlineStr">
        <is>
          <t>MTF מחקה‏ תל גוב-צמודות</t>
        </is>
      </c>
      <c r="R20" s="38" t="inlineStr">
        <is>
          <t xml:space="preserve">אג"ח ישראל צמוד מדד - ממשלתי </t>
        </is>
      </c>
      <c r="T20" s="41" t="n">
        <v>5117866</v>
      </c>
      <c r="V20" s="42" t="n">
        <v>0.0015</v>
      </c>
      <c r="X20" s="38" t="inlineStr">
        <is>
          <t>צוברת</t>
        </is>
      </c>
      <c r="Z20" s="38" t="inlineStr">
        <is>
          <t>ישראלית</t>
        </is>
      </c>
      <c r="AA20" s="38" t="inlineStr">
        <is>
          <t>ישראל</t>
        </is>
      </c>
      <c r="AB20" s="38" t="inlineStr">
        <is>
          <t>https://www.funder.co.il/fund/5117866</t>
        </is>
      </c>
    </row>
    <row r="21" ht="20.25" customHeight="1">
      <c r="A21" s="40" t="inlineStr">
        <is>
          <t>קרן ביטחון</t>
        </is>
      </c>
      <c r="B21" s="44" t="n">
        <v>108000</v>
      </c>
      <c r="C21" s="40" t="inlineStr">
        <is>
          <t>פקדון בנקאי</t>
        </is>
      </c>
      <c r="D21" s="40" t="inlineStr">
        <is>
          <t>-</t>
        </is>
      </c>
      <c r="F21" s="40" t="inlineStr">
        <is>
          <t>-</t>
        </is>
      </c>
      <c r="H21" s="40" t="n"/>
      <c r="J21" s="40" t="n"/>
      <c r="M21" s="40" t="n"/>
      <c r="N21" s="40" t="inlineStr">
        <is>
          <t>אי.בי.אי.</t>
        </is>
      </c>
      <c r="P21" s="40" t="inlineStr">
        <is>
          <t>אי.בי.אי. מחקה תל גוב-צמודות 0-2</t>
        </is>
      </c>
      <c r="R21" s="40" t="inlineStr">
        <is>
          <t>אג"ח ישראל צמוד מדד מח"מ 0-2 שנים - ממשלתי</t>
        </is>
      </c>
      <c r="T21" s="44" t="n">
        <v>5131701</v>
      </c>
      <c r="V21" s="43" t="n">
        <v>0.0008</v>
      </c>
      <c r="X21" s="40" t="inlineStr">
        <is>
          <t>צוברת</t>
        </is>
      </c>
      <c r="Z21" s="40" t="inlineStr">
        <is>
          <t>ישראלית</t>
        </is>
      </c>
      <c r="AA21" s="40" t="inlineStr">
        <is>
          <t>ישראל</t>
        </is>
      </c>
      <c r="AB21" s="40" t="inlineStr">
        <is>
          <t>https://www.funder.co.il/fund/5131701</t>
        </is>
      </c>
    </row>
    <row r="22" ht="21" customHeight="1">
      <c r="A22" s="38" t="inlineStr">
        <is>
          <t>עו"ש</t>
        </is>
      </c>
      <c r="B22" s="41" t="n">
        <v>20000</v>
      </c>
      <c r="C22" s="38" t="n"/>
      <c r="D22" s="38" t="inlineStr">
        <is>
          <t>-</t>
        </is>
      </c>
      <c r="F22" s="38" t="inlineStr">
        <is>
          <t>-</t>
        </is>
      </c>
      <c r="H22" s="38" t="n"/>
      <c r="J22" s="38" t="n"/>
      <c r="M22" s="38" t="n"/>
      <c r="N22" s="38" t="inlineStr">
        <is>
          <t>Vanguard</t>
        </is>
      </c>
      <c r="P22" s="38" t="inlineStr">
        <is>
          <t>Vanguard Total World Stock ETF</t>
        </is>
      </c>
      <c r="R22" s="38" t="inlineStr">
        <is>
          <t>מדד מניות עולמי</t>
        </is>
      </c>
      <c r="T22" s="38" t="inlineStr">
        <is>
          <t>VT</t>
        </is>
      </c>
      <c r="V22" s="42" t="n">
        <v>0.0007</v>
      </c>
      <c r="X22" s="38" t="inlineStr">
        <is>
          <t>מחלקת</t>
        </is>
      </c>
      <c r="Z22" s="38" t="inlineStr">
        <is>
          <t>אמריקאית</t>
        </is>
      </c>
      <c r="AA22" s="38" t="inlineStr">
        <is>
          <t>ארה"ב</t>
        </is>
      </c>
      <c r="AB22" s="38" t="inlineStr">
        <is>
          <t>https://investor.vanguard.com/investment-products/etfs/profile/vt</t>
        </is>
      </c>
    </row>
    <row r="23" ht="18" customHeight="1">
      <c r="A23" s="40" t="inlineStr">
        <is>
          <t>סה"כ צבירה</t>
        </is>
      </c>
      <c r="M23" s="40" t="n"/>
      <c r="N23" s="40" t="inlineStr">
        <is>
          <t>Vanguard</t>
        </is>
      </c>
      <c r="P23" s="40" t="inlineStr">
        <is>
          <t>Vanguard S&amp;P 500 ETF</t>
        </is>
      </c>
      <c r="R23" s="40" t="inlineStr">
        <is>
          <t>S&amp;P500</t>
        </is>
      </c>
      <c r="T23" s="40" t="inlineStr">
        <is>
          <t>VOO</t>
        </is>
      </c>
      <c r="V23" s="43" t="n">
        <v>0.0003</v>
      </c>
      <c r="X23" s="40" t="inlineStr">
        <is>
          <t>מחלקת</t>
        </is>
      </c>
      <c r="Z23" s="40" t="inlineStr">
        <is>
          <t>אמריקאית</t>
        </is>
      </c>
      <c r="AA23" s="40" t="inlineStr">
        <is>
          <t>ארה"ב</t>
        </is>
      </c>
      <c r="AB23" s="40" t="inlineStr">
        <is>
          <t>https://investor.vanguard.com/investment-products/etfs/profile/voo</t>
        </is>
      </c>
    </row>
    <row r="24" ht="18.75" customHeight="1">
      <c r="M24" s="38" t="n"/>
      <c r="N24" s="38" t="inlineStr">
        <is>
          <t>Vanguard</t>
        </is>
      </c>
      <c r="P24" s="38" t="inlineStr">
        <is>
          <t>Vanguard Total Bond Market ETF</t>
        </is>
      </c>
      <c r="R24" s="38" t="inlineStr">
        <is>
          <t>אג"ח ארה"ב</t>
        </is>
      </c>
      <c r="T24" s="38" t="inlineStr">
        <is>
          <t>BND</t>
        </is>
      </c>
      <c r="V24" s="42" t="n">
        <v>0.0003</v>
      </c>
      <c r="X24" s="38" t="inlineStr">
        <is>
          <t>מחלקת</t>
        </is>
      </c>
      <c r="Z24" s="38" t="inlineStr">
        <is>
          <t>אמריקאית</t>
        </is>
      </c>
      <c r="AA24" s="38" t="inlineStr">
        <is>
          <t>ארה"ב</t>
        </is>
      </c>
      <c r="AB24" s="38" t="inlineStr">
        <is>
          <t>https://investor.vanguard.com/investment-products/etfs/profile/bnd</t>
        </is>
      </c>
    </row>
    <row r="25" ht="18" customHeight="1">
      <c r="A25" s="44" t="n">
        <v>941900</v>
      </c>
      <c r="M25" s="40" t="n"/>
      <c r="N25" s="40" t="inlineStr">
        <is>
          <t>Vanguard</t>
        </is>
      </c>
      <c r="P25" s="40" t="inlineStr">
        <is>
          <t>Vanguard Total World Bond ETF</t>
        </is>
      </c>
      <c r="R25" s="40" t="inlineStr">
        <is>
          <t>אג"ח עולמי</t>
        </is>
      </c>
      <c r="T25" s="40" t="inlineStr">
        <is>
          <t>BNDW</t>
        </is>
      </c>
      <c r="V25" s="43" t="n">
        <v>0.0005</v>
      </c>
      <c r="X25" s="40" t="inlineStr">
        <is>
          <t>מחלקת</t>
        </is>
      </c>
      <c r="Z25" s="40" t="inlineStr">
        <is>
          <t>אמריקאית</t>
        </is>
      </c>
      <c r="AA25" s="40" t="inlineStr">
        <is>
          <t>ארה"ב</t>
        </is>
      </c>
      <c r="AB25" s="40" t="inlineStr">
        <is>
          <t>https://investor.vanguard.com/investment-products/etfs/profile/bndw</t>
        </is>
      </c>
    </row>
    <row r="26" ht="18.75" customHeight="1">
      <c r="M26" s="38" t="n"/>
      <c r="N26" s="38" t="inlineStr">
        <is>
          <t>קרנות כספיות</t>
        </is>
      </c>
      <c r="R26" s="38" t="inlineStr">
        <is>
          <t xml:space="preserve">טבלת קרנות: </t>
        </is>
      </c>
      <c r="T26" s="38" t="inlineStr">
        <is>
          <t>https://www.funder.co.il/kaspit</t>
        </is>
      </c>
      <c r="X26" s="38" t="inlineStr">
        <is>
          <t>סרטון הדרכה:</t>
        </is>
      </c>
      <c r="Z26" s="38" t="inlineStr">
        <is>
          <t>https://www.youtube.com/watch?v=saPXT6IrqEk</t>
        </is>
      </c>
    </row>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c r="A37" s="40" t="n"/>
      <c r="B37" s="40" t="n"/>
      <c r="C37" s="40" t="n"/>
      <c r="D37" s="40" t="n"/>
      <c r="E37" s="40" t="n"/>
      <c r="F37" s="40" t="n"/>
      <c r="G37" s="40" t="n"/>
      <c r="H37" s="40" t="n"/>
      <c r="I37" s="40" t="n"/>
      <c r="J37" s="40" t="n"/>
      <c r="K37" s="40" t="n"/>
      <c r="L37" s="40" t="n"/>
      <c r="M37" s="40" t="n"/>
      <c r="N37" s="40" t="n"/>
      <c r="O37" s="40" t="n"/>
      <c r="P37" s="40" t="n"/>
      <c r="Q37" s="40" t="n"/>
      <c r="R37" s="40" t="inlineStr">
        <is>
          <t>תאריך</t>
        </is>
      </c>
      <c r="S37" s="40" t="inlineStr">
        <is>
          <t>נייר ערך</t>
        </is>
      </c>
      <c r="T37" s="40" t="inlineStr">
        <is>
          <t>מספר קרן</t>
        </is>
      </c>
      <c r="U37" s="40" t="inlineStr">
        <is>
          <t>סכום</t>
        </is>
      </c>
      <c r="V37" s="40" t="n"/>
      <c r="W37" s="40" t="n"/>
      <c r="X37" s="40" t="n"/>
      <c r="Y37" s="40" t="n"/>
      <c r="Z37" s="40" t="n"/>
      <c r="AA37" s="40" t="n"/>
      <c r="AB37" s="40" t="n"/>
      <c r="AC37" s="40" t="n"/>
    </row>
    <row r="38" ht="15" customHeight="1">
      <c r="A38" s="38" t="n"/>
      <c r="B38" s="38" t="n"/>
      <c r="C38" s="38" t="n"/>
      <c r="D38" s="38" t="n"/>
      <c r="E38" s="38" t="n"/>
      <c r="F38" s="38" t="n"/>
      <c r="G38" s="38" t="n"/>
      <c r="H38" s="38" t="n"/>
      <c r="I38" s="38" t="n"/>
      <c r="J38" s="38" t="n"/>
      <c r="K38" s="38" t="n"/>
      <c r="L38" s="38" t="n"/>
      <c r="M38" s="38" t="n"/>
      <c r="N38" s="38" t="n"/>
      <c r="O38" s="38" t="n"/>
      <c r="P38" s="38" t="n"/>
      <c r="Q38" s="38" t="n"/>
      <c r="R38" s="39" t="n">
        <v>45732</v>
      </c>
      <c r="S38" s="38" t="inlineStr">
        <is>
          <t>כספית</t>
        </is>
      </c>
      <c r="T38" s="41" t="n">
        <v>5137815</v>
      </c>
      <c r="U38" s="41" t="n">
        <v>10000</v>
      </c>
      <c r="V38" s="38" t="n"/>
      <c r="W38" s="38" t="n"/>
      <c r="X38" s="38" t="n"/>
      <c r="Y38" s="38" t="n"/>
      <c r="Z38" s="38" t="n"/>
      <c r="AA38" s="38" t="n"/>
      <c r="AB38" s="38" t="n"/>
      <c r="AC38" s="38" t="n"/>
    </row>
    <row r="39" ht="15" customHeight="1">
      <c r="A39" s="40" t="n"/>
      <c r="B39" s="40" t="n"/>
      <c r="C39" s="40" t="n"/>
      <c r="D39" s="40" t="n"/>
      <c r="E39" s="40" t="n"/>
      <c r="F39" s="40" t="n"/>
      <c r="G39" s="40" t="n"/>
      <c r="H39" s="40" t="n"/>
      <c r="I39" s="40" t="n"/>
      <c r="J39" s="40" t="n"/>
      <c r="K39" s="40" t="n"/>
      <c r="L39" s="40" t="n"/>
      <c r="M39" s="40" t="n"/>
      <c r="N39" s="40" t="n"/>
      <c r="O39" s="40" t="n"/>
      <c r="P39" s="40" t="n"/>
      <c r="Q39" s="40" t="n"/>
      <c r="R39" s="45" t="n">
        <v>45762</v>
      </c>
      <c r="S39" s="40" t="inlineStr">
        <is>
          <t>כספית</t>
        </is>
      </c>
      <c r="T39" s="44" t="n">
        <v>5137815</v>
      </c>
      <c r="U39" s="44" t="n">
        <v>30000</v>
      </c>
      <c r="V39" s="40" t="n"/>
      <c r="W39" s="40" t="n"/>
      <c r="X39" s="40" t="n"/>
      <c r="Y39" s="40" t="n"/>
      <c r="Z39" s="40" t="n"/>
      <c r="AA39" s="40" t="n"/>
      <c r="AB39" s="40" t="n"/>
      <c r="AC39" s="40" t="n"/>
    </row>
    <row r="40" ht="15" customHeight="1">
      <c r="A40" s="38" t="n"/>
      <c r="B40" s="38" t="n"/>
      <c r="C40" s="38" t="n"/>
      <c r="D40" s="38" t="n"/>
      <c r="E40" s="38" t="n"/>
      <c r="F40" s="38" t="n"/>
      <c r="G40" s="38" t="n"/>
      <c r="H40" s="38" t="n"/>
      <c r="I40" s="38" t="n"/>
      <c r="J40" s="38" t="n"/>
      <c r="K40" s="38" t="n"/>
      <c r="L40" s="38" t="n"/>
      <c r="M40" s="38" t="n"/>
      <c r="N40" s="38" t="n"/>
      <c r="O40" s="38" t="n"/>
      <c r="P40" s="38" t="n"/>
      <c r="Q40" s="38" t="n"/>
      <c r="R40" s="39" t="n">
        <v>45791</v>
      </c>
      <c r="S40" s="38" t="inlineStr">
        <is>
          <t>כספית</t>
        </is>
      </c>
      <c r="T40" s="41" t="n">
        <v>5136544</v>
      </c>
      <c r="U40" s="41" t="n">
        <v>5000</v>
      </c>
      <c r="V40" s="38" t="n"/>
      <c r="W40" s="38" t="n"/>
      <c r="X40" s="38" t="n"/>
      <c r="Y40" s="38" t="n"/>
      <c r="Z40" s="38" t="n"/>
      <c r="AA40" s="38" t="n"/>
      <c r="AB40" s="38" t="n"/>
      <c r="AC40" s="38" t="n"/>
    </row>
    <row r="41" ht="15" customHeight="1"/>
    <row r="42" ht="15" customHeight="1"/>
    <row r="43" ht="15" customHeight="1">
      <c r="A43" s="40" t="n"/>
      <c r="B43" s="40" t="n"/>
      <c r="C43" s="40" t="n"/>
      <c r="D43" s="40" t="n"/>
      <c r="E43" s="40" t="n"/>
      <c r="F43" s="40" t="n"/>
      <c r="G43" s="40" t="n"/>
      <c r="H43" s="40" t="n"/>
      <c r="I43" s="40" t="n"/>
      <c r="J43" s="40" t="n"/>
      <c r="K43" s="40" t="n"/>
      <c r="L43" s="40" t="n"/>
      <c r="M43" s="40" t="n"/>
      <c r="N43" s="40" t="n"/>
      <c r="O43" s="40" t="n"/>
      <c r="P43" s="45" t="n">
        <v>45732</v>
      </c>
      <c r="Q43" s="45" t="n">
        <v>45776</v>
      </c>
      <c r="R43" s="45" t="n">
        <v>45792</v>
      </c>
      <c r="S43" s="45" t="n">
        <v>45805</v>
      </c>
      <c r="T43" s="40" t="n"/>
      <c r="U43" s="45" t="n">
        <v>45977</v>
      </c>
      <c r="V43" s="45" t="n">
        <v>46014</v>
      </c>
      <c r="W43" s="45" t="n">
        <v>46042</v>
      </c>
      <c r="X43" s="45" t="n">
        <v>46066</v>
      </c>
      <c r="Y43" s="45" t="n">
        <v>46072</v>
      </c>
      <c r="Z43" s="40" t="n"/>
      <c r="AA43" s="40" t="n"/>
      <c r="AB43" s="40" t="n"/>
      <c r="AC43" s="40" t="n"/>
    </row>
    <row r="44" ht="15" customHeight="1">
      <c r="A44" s="38" t="n"/>
      <c r="B44" s="38" t="n"/>
      <c r="C44" s="38" t="n"/>
      <c r="D44" s="38" t="n"/>
      <c r="E44" s="38" t="n"/>
      <c r="F44" s="38" t="n"/>
      <c r="G44" s="38" t="n"/>
      <c r="H44" s="38" t="n"/>
      <c r="I44" s="38" t="n"/>
      <c r="J44" s="38" t="n"/>
      <c r="K44" s="38" t="n"/>
      <c r="L44" s="38" t="n"/>
      <c r="M44" s="38" t="n"/>
      <c r="N44" s="38" t="n"/>
      <c r="O44" s="38" t="inlineStr">
        <is>
          <t xml:space="preserve"> Invesco NASDAQ 100 ETF  (QQQM)</t>
        </is>
      </c>
      <c r="P44" s="38" t="n"/>
      <c r="Q44" s="38" t="n"/>
      <c r="R44" s="38" t="n"/>
      <c r="S44" s="38" t="n"/>
      <c r="T44" s="38" t="n"/>
      <c r="U44" s="38" t="inlineStr">
        <is>
          <t>16143($5030)</t>
        </is>
      </c>
      <c r="V44" s="38" t="n"/>
      <c r="W44" s="41" t="n">
        <v>3287.05</v>
      </c>
      <c r="X44" s="38" t="n"/>
      <c r="Y44" s="38" t="n"/>
      <c r="Z44" s="38" t="n"/>
      <c r="AA44" s="41" t="n">
        <v>19430.05</v>
      </c>
      <c r="AB44" s="38" t="n"/>
      <c r="AC44" s="38" t="n"/>
    </row>
    <row r="45" ht="15" customHeight="1">
      <c r="A45" s="40" t="n"/>
      <c r="B45" s="40" t="n"/>
      <c r="C45" s="40" t="n"/>
      <c r="D45" s="40" t="n"/>
      <c r="E45" s="40" t="n"/>
      <c r="F45" s="40" t="n"/>
      <c r="G45" s="40" t="n"/>
      <c r="H45" s="40" t="n"/>
      <c r="I45" s="40" t="n"/>
      <c r="J45" s="40" t="n"/>
      <c r="K45" s="40" t="n"/>
      <c r="L45" s="40" t="n"/>
      <c r="M45" s="40" t="n"/>
      <c r="N45" s="40" t="n"/>
      <c r="O45" s="40" t="inlineStr">
        <is>
          <t>NSQ 100 (1186063)</t>
        </is>
      </c>
      <c r="P45" s="40" t="n"/>
      <c r="Q45" s="40" t="n"/>
      <c r="R45" s="44" t="n">
        <v>4935</v>
      </c>
      <c r="S45" s="40" t="n"/>
      <c r="T45" s="40" t="n"/>
      <c r="U45" s="44" t="n">
        <v>10228</v>
      </c>
      <c r="V45" s="40" t="n"/>
      <c r="W45" s="44" t="n">
        <v>3726</v>
      </c>
      <c r="X45" s="40" t="n"/>
      <c r="Y45" s="40" t="n"/>
      <c r="Z45" s="40" t="n"/>
      <c r="AA45" s="44" t="n">
        <v>18889</v>
      </c>
      <c r="AB45" s="40" t="n"/>
      <c r="AC45" s="40" t="n"/>
    </row>
    <row r="46" ht="15" customHeight="1">
      <c r="A46" s="38" t="n"/>
      <c r="B46" s="38" t="n"/>
      <c r="C46" s="38" t="n"/>
      <c r="D46" s="38" t="n"/>
      <c r="E46" s="38" t="n"/>
      <c r="F46" s="38" t="n"/>
      <c r="G46" s="38" t="n"/>
      <c r="H46" s="38" t="n"/>
      <c r="I46" s="38" t="n"/>
      <c r="J46" s="38" t="n"/>
      <c r="K46" s="38" t="n"/>
      <c r="L46" s="38" t="n"/>
      <c r="M46" s="38" t="n"/>
      <c r="N46" s="38" t="n"/>
      <c r="O46" s="38" t="inlineStr">
        <is>
          <t>ACWI (1159235)</t>
        </is>
      </c>
      <c r="P46" s="41" t="n">
        <v>7378</v>
      </c>
      <c r="Q46" s="38" t="n"/>
      <c r="R46" s="38" t="n"/>
      <c r="S46" s="38" t="n"/>
      <c r="T46" s="38" t="n"/>
      <c r="U46" s="41" t="n">
        <v>9915</v>
      </c>
      <c r="V46" s="41" t="n">
        <v>2438</v>
      </c>
      <c r="W46" s="41" t="n">
        <v>3479</v>
      </c>
      <c r="X46" s="38" t="n"/>
      <c r="Y46" s="41" t="n">
        <v>1411.2</v>
      </c>
      <c r="Z46" s="38" t="n"/>
      <c r="AA46" s="41" t="n">
        <v>24621.2</v>
      </c>
      <c r="AB46" s="38" t="n"/>
      <c r="AC46" s="38" t="n"/>
    </row>
    <row r="47" ht="15" customHeight="1">
      <c r="A47" s="40" t="n"/>
      <c r="B47" s="40" t="n"/>
      <c r="C47" s="40" t="n"/>
      <c r="D47" s="40" t="n"/>
      <c r="E47" s="40" t="n"/>
      <c r="F47" s="40" t="n"/>
      <c r="G47" s="40" t="n"/>
      <c r="H47" s="40" t="n"/>
      <c r="I47" s="40" t="n"/>
      <c r="J47" s="40" t="n"/>
      <c r="K47" s="40" t="n"/>
      <c r="L47" s="40" t="n"/>
      <c r="M47" s="40" t="n"/>
      <c r="N47" s="40" t="n"/>
      <c r="O47" s="40" t="inlineStr">
        <is>
          <t xml:space="preserve"> Ishares MSCI World Index Fund (URTA)</t>
        </is>
      </c>
      <c r="P47" s="40" t="n"/>
      <c r="Q47" s="40" t="n"/>
      <c r="R47" s="40" t="n"/>
      <c r="S47" s="40" t="n"/>
      <c r="T47" s="40" t="n"/>
      <c r="U47" s="40" t="n"/>
      <c r="V47" s="40" t="n"/>
      <c r="W47" s="40" t="inlineStr">
        <is>
          <t>($6179.15) 19563.2</t>
        </is>
      </c>
      <c r="X47" s="40" t="n"/>
      <c r="Y47" s="40" t="n"/>
      <c r="Z47" s="40" t="n"/>
      <c r="AA47" s="44" t="n">
        <v>19563.2</v>
      </c>
      <c r="AB47" s="40" t="n"/>
      <c r="AC47" s="40" t="n"/>
    </row>
    <row r="48" ht="15" customHeight="1">
      <c r="A48" s="38" t="n"/>
      <c r="B48" s="38" t="n"/>
      <c r="C48" s="38" t="n"/>
      <c r="D48" s="38" t="n"/>
      <c r="E48" s="38" t="n"/>
      <c r="F48" s="38" t="n"/>
      <c r="G48" s="38" t="n"/>
      <c r="H48" s="38" t="n"/>
      <c r="I48" s="38" t="n"/>
      <c r="J48" s="38" t="n"/>
      <c r="K48" s="38" t="n"/>
      <c r="L48" s="38" t="n"/>
      <c r="M48" s="38" t="n"/>
      <c r="N48" s="38" t="n"/>
      <c r="O48" s="38" t="inlineStr">
        <is>
          <t>VT</t>
        </is>
      </c>
      <c r="P48" s="38" t="n"/>
      <c r="Q48" s="38" t="n"/>
      <c r="R48" s="38" t="n"/>
      <c r="S48" s="38" t="n"/>
      <c r="T48" s="38" t="n"/>
      <c r="U48" s="38" t="inlineStr">
        <is>
          <t>7649($2389)</t>
        </is>
      </c>
      <c r="V48" s="38" t="n"/>
      <c r="W48" s="38" t="n"/>
      <c r="X48" s="38" t="n"/>
      <c r="Y48" s="38" t="n"/>
      <c r="Z48" s="38" t="n"/>
      <c r="AA48" s="41" t="n">
        <v>4649</v>
      </c>
      <c r="AB48" s="38" t="n"/>
      <c r="AC48" s="38" t="n"/>
    </row>
    <row r="49" ht="15" customHeight="1">
      <c r="A49" s="40" t="n"/>
      <c r="B49" s="40" t="n"/>
      <c r="C49" s="40" t="n"/>
      <c r="D49" s="40" t="n"/>
      <c r="E49" s="40" t="n"/>
      <c r="F49" s="40" t="n"/>
      <c r="G49" s="40" t="n"/>
      <c r="H49" s="40" t="n"/>
      <c r="I49" s="40" t="n"/>
      <c r="J49" s="40" t="n"/>
      <c r="K49" s="40" t="n"/>
      <c r="L49" s="40" t="n"/>
      <c r="M49" s="40" t="n"/>
      <c r="N49" s="40" t="n"/>
      <c r="O49" s="40" t="inlineStr">
        <is>
          <t>ת"א 125 (1155324)</t>
        </is>
      </c>
      <c r="P49" s="40" t="n"/>
      <c r="Q49" s="44" t="n">
        <v>7803</v>
      </c>
      <c r="R49" s="40" t="n"/>
      <c r="S49" s="40" t="n"/>
      <c r="T49" s="40" t="n"/>
      <c r="U49" s="44" t="n">
        <v>20060</v>
      </c>
      <c r="V49" s="44" t="n">
        <v>2512</v>
      </c>
      <c r="W49" s="44" t="n">
        <v>2531.1</v>
      </c>
      <c r="X49" s="40" t="n"/>
      <c r="Y49" s="44" t="n">
        <v>1158.72</v>
      </c>
      <c r="Z49" s="40" t="n"/>
      <c r="AA49" s="44" t="n">
        <v>34064.82</v>
      </c>
      <c r="AB49" s="40" t="n"/>
      <c r="AC49" s="40" t="n"/>
    </row>
    <row r="50" ht="15" customHeight="1">
      <c r="A50" s="38" t="n"/>
      <c r="B50" s="38" t="n"/>
      <c r="C50" s="38" t="n"/>
      <c r="D50" s="38" t="n"/>
      <c r="E50" s="38" t="n"/>
      <c r="F50" s="38" t="n"/>
      <c r="G50" s="38" t="n"/>
      <c r="H50" s="38" t="n"/>
      <c r="I50" s="38" t="n"/>
      <c r="J50" s="38" t="n"/>
      <c r="K50" s="38" t="n"/>
      <c r="L50" s="38" t="n"/>
      <c r="M50" s="38" t="n"/>
      <c r="N50" s="38" t="n"/>
      <c r="O50" s="38" t="inlineStr">
        <is>
          <t>S&amp;P 500(5124482)</t>
        </is>
      </c>
      <c r="P50" s="38" t="n"/>
      <c r="Q50" s="38" t="n"/>
      <c r="R50" s="38" t="n"/>
      <c r="S50" s="41" t="n">
        <v>1390</v>
      </c>
      <c r="T50" s="38" t="n"/>
      <c r="U50" s="41" t="n">
        <v>1971</v>
      </c>
      <c r="V50" s="38" t="n"/>
      <c r="W50" s="41" t="n">
        <v>2000</v>
      </c>
      <c r="X50" s="38" t="n"/>
      <c r="Y50" s="38" t="n"/>
      <c r="Z50" s="38" t="n"/>
      <c r="AA50" s="41" t="n">
        <v>5361</v>
      </c>
      <c r="AB50" s="38" t="n"/>
      <c r="AC50" s="38" t="n"/>
    </row>
    <row r="51" ht="15" customHeight="1">
      <c r="A51" s="40" t="n"/>
      <c r="B51" s="40" t="n"/>
      <c r="C51" s="40" t="n"/>
      <c r="D51" s="40" t="n"/>
      <c r="E51" s="40" t="n"/>
      <c r="F51" s="40" t="n"/>
      <c r="G51" s="40" t="n"/>
      <c r="H51" s="40" t="n"/>
      <c r="I51" s="40" t="n"/>
      <c r="J51" s="40" t="n"/>
      <c r="K51" s="40" t="n"/>
      <c r="L51" s="40" t="n"/>
      <c r="M51" s="40" t="n"/>
      <c r="N51" s="40" t="n"/>
      <c r="O51" s="40" t="inlineStr">
        <is>
          <t>Western Digital Corporation (WDC)</t>
        </is>
      </c>
      <c r="P51" s="40" t="n"/>
      <c r="Q51" s="40" t="n"/>
      <c r="R51" s="40" t="n"/>
      <c r="S51" s="40" t="n"/>
      <c r="T51" s="40" t="n"/>
      <c r="U51" s="40" t="n"/>
      <c r="V51" s="40" t="n"/>
      <c r="W51" s="40" t="n"/>
      <c r="X51" s="40" t="inlineStr">
        <is>
          <t>3530 ($1145)</t>
        </is>
      </c>
      <c r="Y51" s="40" t="n"/>
      <c r="Z51" s="40" t="n"/>
      <c r="AA51" s="44" t="n">
        <v>3530</v>
      </c>
      <c r="AB51" s="40" t="n"/>
      <c r="AC51" s="40" t="n"/>
    </row>
    <row r="52" ht="15" customHeight="1">
      <c r="A52" s="38" t="n"/>
      <c r="B52" s="38" t="n"/>
      <c r="C52" s="38" t="n"/>
      <c r="D52" s="38" t="n"/>
      <c r="E52" s="38" t="n"/>
      <c r="F52" s="38" t="n"/>
      <c r="G52" s="38" t="n"/>
      <c r="H52" s="38" t="n"/>
      <c r="I52" s="38" t="n"/>
      <c r="J52" s="38" t="n"/>
      <c r="K52" s="38" t="n"/>
      <c r="L52" s="38" t="n"/>
      <c r="M52" s="38" t="n"/>
      <c r="N52" s="38" t="n"/>
      <c r="O52" s="38" t="inlineStr">
        <is>
          <t>Sandisk Corporation (SNDK)</t>
        </is>
      </c>
      <c r="P52" s="38" t="n"/>
      <c r="Q52" s="38" t="n"/>
      <c r="R52" s="38" t="n"/>
      <c r="S52" s="38" t="n"/>
      <c r="T52" s="38" t="n"/>
      <c r="U52" s="38" t="n"/>
      <c r="V52" s="38" t="n"/>
      <c r="W52" s="38" t="n"/>
      <c r="X52" s="38" t="n"/>
      <c r="Y52" s="38" t="inlineStr">
        <is>
          <t>4005.3 ($1300)</t>
        </is>
      </c>
      <c r="Z52" s="38" t="n"/>
      <c r="AA52" s="41" t="n">
        <v>4005.3</v>
      </c>
      <c r="AB52" s="38" t="n"/>
      <c r="AC52" s="38" t="n"/>
    </row>
    <row r="53" ht="15" customHeight="1">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4" t="n">
        <v>134113.57</v>
      </c>
      <c r="AB53" s="40" t="n"/>
      <c r="AC53" s="40" t="n"/>
    </row>
  </sheetData>
  <mergeCells count="192">
    <mergeCell ref="D20:E20"/>
    <mergeCell ref="N11:O11"/>
    <mergeCell ref="V17:W17"/>
    <mergeCell ref="F16:G16"/>
    <mergeCell ref="N20:O20"/>
    <mergeCell ref="H10:I10"/>
    <mergeCell ref="P20:Q20"/>
    <mergeCell ref="X11:Y11"/>
    <mergeCell ref="A7:A8"/>
    <mergeCell ref="D22:E22"/>
    <mergeCell ref="N22:O22"/>
    <mergeCell ref="H9:I9"/>
    <mergeCell ref="J11:L11"/>
    <mergeCell ref="P22:Q22"/>
    <mergeCell ref="V20:W20"/>
    <mergeCell ref="F15:G15"/>
    <mergeCell ref="N12:O12"/>
    <mergeCell ref="D13:E13"/>
    <mergeCell ref="N14:O14"/>
    <mergeCell ref="R12:S12"/>
    <mergeCell ref="T12:U12"/>
    <mergeCell ref="AB21:AC21"/>
    <mergeCell ref="V15:W15"/>
    <mergeCell ref="X20:Y20"/>
    <mergeCell ref="X15:Y15"/>
    <mergeCell ref="F13:G13"/>
    <mergeCell ref="AB23:AC23"/>
    <mergeCell ref="P13:Q13"/>
    <mergeCell ref="H13:I13"/>
    <mergeCell ref="N3:AC5"/>
    <mergeCell ref="AB13:AC13"/>
    <mergeCell ref="N15:O15"/>
    <mergeCell ref="J13:L13"/>
    <mergeCell ref="N24:O24"/>
    <mergeCell ref="P15:Q15"/>
    <mergeCell ref="H15:I15"/>
    <mergeCell ref="P24:Q24"/>
    <mergeCell ref="R18:S18"/>
    <mergeCell ref="AB18:AC18"/>
    <mergeCell ref="J15:L15"/>
    <mergeCell ref="D10:E10"/>
    <mergeCell ref="T24:U24"/>
    <mergeCell ref="F10:G10"/>
    <mergeCell ref="D19:E19"/>
    <mergeCell ref="F19:G19"/>
    <mergeCell ref="N16:O16"/>
    <mergeCell ref="P10:Q10"/>
    <mergeCell ref="N25:O25"/>
    <mergeCell ref="R10:S10"/>
    <mergeCell ref="P25:Q25"/>
    <mergeCell ref="R19:S19"/>
    <mergeCell ref="X17:Y17"/>
    <mergeCell ref="P9:Q9"/>
    <mergeCell ref="J16:L16"/>
    <mergeCell ref="R16:S16"/>
    <mergeCell ref="T10:U10"/>
    <mergeCell ref="AB25:AC25"/>
    <mergeCell ref="R25:S25"/>
    <mergeCell ref="V10:W10"/>
    <mergeCell ref="D11:E11"/>
    <mergeCell ref="T25:U25"/>
    <mergeCell ref="N26:Q26"/>
    <mergeCell ref="F20:G20"/>
    <mergeCell ref="F18:G18"/>
    <mergeCell ref="X19:Y19"/>
    <mergeCell ref="V19:W19"/>
    <mergeCell ref="P11:Q11"/>
    <mergeCell ref="T9:U9"/>
    <mergeCell ref="AB22:AC22"/>
    <mergeCell ref="V9:W9"/>
    <mergeCell ref="F17:G17"/>
    <mergeCell ref="H17:I17"/>
    <mergeCell ref="H11:I11"/>
    <mergeCell ref="AB12:AC12"/>
    <mergeCell ref="T11:U11"/>
    <mergeCell ref="V11:W11"/>
    <mergeCell ref="H19:I19"/>
    <mergeCell ref="X14:Y14"/>
    <mergeCell ref="T22:U22"/>
    <mergeCell ref="D9:E9"/>
    <mergeCell ref="N13:O13"/>
    <mergeCell ref="F9:G9"/>
    <mergeCell ref="H12:I12"/>
    <mergeCell ref="J14:L14"/>
    <mergeCell ref="D15:E15"/>
    <mergeCell ref="B7:B8"/>
    <mergeCell ref="P14:Q14"/>
    <mergeCell ref="H14:I14"/>
    <mergeCell ref="R14:S14"/>
    <mergeCell ref="R23:S23"/>
    <mergeCell ref="V21:W21"/>
    <mergeCell ref="X21:Y21"/>
    <mergeCell ref="AB15:AC15"/>
    <mergeCell ref="T15:U15"/>
    <mergeCell ref="AB24:AC24"/>
    <mergeCell ref="H7:I8"/>
    <mergeCell ref="V23:W23"/>
    <mergeCell ref="X23:Y23"/>
    <mergeCell ref="V13:W13"/>
    <mergeCell ref="X13:Y13"/>
    <mergeCell ref="F21:G21"/>
    <mergeCell ref="H21:I21"/>
    <mergeCell ref="N6:AC8"/>
    <mergeCell ref="X16:Y16"/>
    <mergeCell ref="AB16:AC16"/>
    <mergeCell ref="V24:W24"/>
    <mergeCell ref="N18:O18"/>
    <mergeCell ref="X18:Y18"/>
    <mergeCell ref="D17:E17"/>
    <mergeCell ref="AB9:AC9"/>
    <mergeCell ref="N17:O17"/>
    <mergeCell ref="P17:Q17"/>
    <mergeCell ref="Z26:AC26"/>
    <mergeCell ref="H16:I16"/>
    <mergeCell ref="R20:S20"/>
    <mergeCell ref="J18:L18"/>
    <mergeCell ref="AB11:AC11"/>
    <mergeCell ref="C7:C8"/>
    <mergeCell ref="N10:O10"/>
    <mergeCell ref="F22:G22"/>
    <mergeCell ref="N19:O19"/>
    <mergeCell ref="H22:I22"/>
    <mergeCell ref="J17:L17"/>
    <mergeCell ref="R17:S17"/>
    <mergeCell ref="T17:U17"/>
    <mergeCell ref="P19:Q19"/>
    <mergeCell ref="R22:S22"/>
    <mergeCell ref="D12:E12"/>
    <mergeCell ref="N9:O9"/>
    <mergeCell ref="A3:L6"/>
    <mergeCell ref="J10:L10"/>
    <mergeCell ref="P12:Q12"/>
    <mergeCell ref="J19:L19"/>
    <mergeCell ref="T19:U19"/>
    <mergeCell ref="D14:E14"/>
    <mergeCell ref="V22:W22"/>
    <mergeCell ref="F14:G14"/>
    <mergeCell ref="X22:Y22"/>
    <mergeCell ref="J9:L9"/>
    <mergeCell ref="R9:S9"/>
    <mergeCell ref="V12:W12"/>
    <mergeCell ref="F11:G11"/>
    <mergeCell ref="X12:Y12"/>
    <mergeCell ref="H20:I20"/>
    <mergeCell ref="A23:L24"/>
    <mergeCell ref="D7:E8"/>
    <mergeCell ref="AB20:AC20"/>
    <mergeCell ref="R11:S11"/>
    <mergeCell ref="AB14:AC14"/>
    <mergeCell ref="T20:U20"/>
    <mergeCell ref="T14:U14"/>
    <mergeCell ref="V14:W14"/>
    <mergeCell ref="R13:S13"/>
    <mergeCell ref="J20:L20"/>
    <mergeCell ref="D21:E21"/>
    <mergeCell ref="F12:G12"/>
    <mergeCell ref="N21:O21"/>
    <mergeCell ref="P21:Q21"/>
    <mergeCell ref="R15:S15"/>
    <mergeCell ref="J22:L22"/>
    <mergeCell ref="R24:S24"/>
    <mergeCell ref="J12:L12"/>
    <mergeCell ref="N23:O23"/>
    <mergeCell ref="J21:L21"/>
    <mergeCell ref="R21:S21"/>
    <mergeCell ref="P23:Q23"/>
    <mergeCell ref="T21:U21"/>
    <mergeCell ref="R26:S26"/>
    <mergeCell ref="D16:E16"/>
    <mergeCell ref="X24:Y24"/>
    <mergeCell ref="P16:Q16"/>
    <mergeCell ref="F7:G8"/>
    <mergeCell ref="T23:U23"/>
    <mergeCell ref="D18:E18"/>
    <mergeCell ref="A25:L26"/>
    <mergeCell ref="X26:Y26"/>
    <mergeCell ref="T13:U13"/>
    <mergeCell ref="AB17:AC17"/>
    <mergeCell ref="P18:Q18"/>
    <mergeCell ref="J7:L8"/>
    <mergeCell ref="T16:U16"/>
    <mergeCell ref="V16:W16"/>
    <mergeCell ref="X10:Y10"/>
    <mergeCell ref="V25:W25"/>
    <mergeCell ref="X25:Y25"/>
    <mergeCell ref="H18:I18"/>
    <mergeCell ref="AB10:AC10"/>
    <mergeCell ref="T26:W26"/>
    <mergeCell ref="AB19:AC19"/>
    <mergeCell ref="T18:U18"/>
    <mergeCell ref="X9:Y9"/>
    <mergeCell ref="V18:W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9"/>
  <sheetViews>
    <sheetView rightToLeft="1" workbookViewId="0">
      <pane ySplit="1" topLeftCell="A2" activePane="bottomLeft" state="frozen"/>
      <selection pane="bottomLeft" activeCell="A1" sqref="A1"/>
    </sheetView>
  </sheetViews>
  <sheetFormatPr baseColWidth="8" defaultRowHeight="15"/>
  <cols>
    <col width="22" customWidth="1" min="1" max="1"/>
    <col width="20.125" customWidth="1" min="2" max="2"/>
    <col width="16.125" customWidth="1" min="3" max="3"/>
    <col width="15" customWidth="1" min="4" max="4"/>
    <col width="15.125" customWidth="1" min="5" max="5"/>
  </cols>
  <sheetData>
    <row r="1" ht="15" customHeight="1">
      <c r="A1" s="46" t="inlineStr">
        <is>
          <t>מחשבון תמהיל תיק השקעות</t>
        </is>
      </c>
    </row>
    <row r="2" ht="15" customHeight="1"/>
    <row r="3" ht="15" customHeight="1"/>
    <row r="4" ht="15" customHeight="1"/>
    <row r="5" ht="15" customHeight="1"/>
    <row r="6" ht="15" customHeight="1">
      <c r="A6" s="38" t="inlineStr">
        <is>
          <t>אחוז חשיפה למניות במסלול ההשקעה</t>
        </is>
      </c>
      <c r="B6" s="38" t="inlineStr">
        <is>
          <t xml:space="preserve">מכשיר </t>
        </is>
      </c>
      <c r="C6" s="38" t="inlineStr">
        <is>
          <t>צבירה</t>
        </is>
      </c>
      <c r="D6" s="38" t="inlineStr">
        <is>
          <t>חלק מנייתי</t>
        </is>
      </c>
      <c r="E6" s="38" t="inlineStr">
        <is>
          <t>חלק סולידי</t>
        </is>
      </c>
    </row>
    <row r="7" ht="15" customHeight="1"/>
    <row r="8" ht="15" customHeight="1"/>
    <row r="9" ht="28.5" customHeight="1">
      <c r="A9" s="40" t="inlineStr">
        <is>
          <t>כמה אחוז במסלול מחקה מדד</t>
        </is>
      </c>
      <c r="B9" s="40" t="inlineStr">
        <is>
          <t>עמודה1</t>
        </is>
      </c>
      <c r="C9" s="40" t="inlineStr">
        <is>
          <t>עמודה2</t>
        </is>
      </c>
      <c r="D9" s="40" t="inlineStr">
        <is>
          <t>החלק המנייתי של התיק</t>
        </is>
      </c>
      <c r="E9" s="40" t="inlineStr">
        <is>
          <t xml:space="preserve">החלק הסולידי של התיק </t>
        </is>
      </c>
    </row>
    <row r="10" ht="15.75" customHeight="1">
      <c r="A10" s="42" t="n">
        <v>0.71</v>
      </c>
      <c r="B10" s="38" t="inlineStr">
        <is>
          <t xml:space="preserve">פנסיה מקיפה </t>
        </is>
      </c>
      <c r="C10" s="41" t="n">
        <v>435031</v>
      </c>
      <c r="D10" s="41" t="n">
        <v>216210.407</v>
      </c>
      <c r="E10" s="41" t="n">
        <v>218820.593</v>
      </c>
    </row>
    <row r="11" ht="15.75" customHeight="1">
      <c r="A11" s="43" t="n">
        <v>1</v>
      </c>
      <c r="B11" s="40" t="inlineStr">
        <is>
          <t>פנסיה משלימה</t>
        </is>
      </c>
      <c r="C11" s="44" t="n">
        <v>77318</v>
      </c>
      <c r="D11" s="44" t="n">
        <v>77318</v>
      </c>
      <c r="E11" s="40" t="n">
        <v>0</v>
      </c>
    </row>
    <row r="12" ht="15.75" customHeight="1">
      <c r="A12" s="42" t="n">
        <v>1</v>
      </c>
      <c r="B12" s="38" t="inlineStr">
        <is>
          <t>קרן השתלמות</t>
        </is>
      </c>
      <c r="C12" s="41" t="n">
        <v>204519</v>
      </c>
      <c r="D12" s="41" t="n">
        <v>204519</v>
      </c>
      <c r="E12" s="38" t="n">
        <v>0</v>
      </c>
    </row>
    <row r="13" ht="15.75" customHeight="1">
      <c r="A13" s="40" t="inlineStr">
        <is>
          <t>-</t>
        </is>
      </c>
      <c r="B13" s="40" t="inlineStr">
        <is>
          <t>קרן ביטחון</t>
        </is>
      </c>
      <c r="C13" s="44" t="n">
        <v>20000</v>
      </c>
      <c r="D13" s="40" t="n">
        <v>0</v>
      </c>
      <c r="E13" s="44" t="n">
        <v>20000</v>
      </c>
    </row>
    <row r="14" ht="15.75" customHeight="1">
      <c r="A14" s="38" t="inlineStr">
        <is>
          <t>-</t>
        </is>
      </c>
      <c r="B14" s="38" t="inlineStr">
        <is>
          <t>פקדונות</t>
        </is>
      </c>
      <c r="C14" s="38" t="n">
        <v>0</v>
      </c>
      <c r="D14" s="38" t="n">
        <v>0</v>
      </c>
      <c r="E14" s="38" t="n">
        <v>0</v>
      </c>
    </row>
    <row r="15" ht="15.75" customHeight="1">
      <c r="A15" s="40" t="inlineStr">
        <is>
          <t>-</t>
        </is>
      </c>
      <c r="B15" s="40" t="inlineStr">
        <is>
          <t>עובר ושב</t>
        </is>
      </c>
      <c r="C15" s="44" t="n">
        <v>22757</v>
      </c>
      <c r="D15" s="40" t="n">
        <v>0</v>
      </c>
      <c r="E15" s="44" t="n">
        <v>22757</v>
      </c>
    </row>
    <row r="16" ht="15.75" customHeight="1">
      <c r="A16" s="38" t="inlineStr">
        <is>
          <t>-</t>
        </is>
      </c>
      <c r="B16" s="38" t="inlineStr">
        <is>
          <t>חשבון מסחר</t>
        </is>
      </c>
      <c r="C16" s="41" t="n">
        <v>10000</v>
      </c>
      <c r="D16" s="41" t="n">
        <v>-59361.15700000006</v>
      </c>
      <c r="E16" s="41" t="n">
        <v>69361.15700000006</v>
      </c>
    </row>
    <row r="17" ht="15" customHeight="1">
      <c r="A17" s="40" t="n"/>
      <c r="B17" s="40" t="inlineStr">
        <is>
          <t>סה"כ צבירה</t>
        </is>
      </c>
      <c r="C17" s="44" t="n">
        <v>769625</v>
      </c>
      <c r="D17" s="40" t="n"/>
    </row>
    <row r="18" ht="15" customHeight="1"/>
    <row r="19" ht="30" customHeight="1">
      <c r="A19" s="40" t="inlineStr">
        <is>
          <t>אחוז החשיפה למניות שבחרתי</t>
        </is>
      </c>
      <c r="B19" s="43" t="n">
        <v>0.57</v>
      </c>
      <c r="C19" s="40" t="inlineStr">
        <is>
          <t>פילוח כל הצבירה שלי בשקלים</t>
        </is>
      </c>
      <c r="D19" s="40" t="inlineStr">
        <is>
          <t>מנייתי</t>
        </is>
      </c>
      <c r="E19" s="40" t="inlineStr">
        <is>
          <t>סולידי</t>
        </is>
      </c>
    </row>
    <row r="20" ht="15" customHeight="1">
      <c r="A20" s="38" t="inlineStr">
        <is>
          <t xml:space="preserve">מינימום חשיפה למניות </t>
        </is>
      </c>
      <c r="B20" s="42" t="n">
        <v>0.6471299749878188</v>
      </c>
      <c r="D20" s="41" t="n">
        <v>438686.2499999999</v>
      </c>
      <c r="E20" s="41" t="n">
        <v>330938.7500000001</v>
      </c>
    </row>
    <row r="21" ht="15" customHeight="1">
      <c r="A21" s="40" t="inlineStr">
        <is>
          <t xml:space="preserve">מקסימום חשיפה למניות </t>
        </is>
      </c>
      <c r="B21" s="43" t="n">
        <v>0.6601233159006009</v>
      </c>
      <c r="C21" s="40" t="inlineStr">
        <is>
          <t>פילוח ההפקדה החודשית שלי בחשבון המסחר</t>
        </is>
      </c>
      <c r="D21" s="40" t="inlineStr">
        <is>
          <t>מנייתי</t>
        </is>
      </c>
      <c r="E21" s="40" t="inlineStr">
        <is>
          <t>סולידי</t>
        </is>
      </c>
    </row>
    <row r="22" ht="30" customHeight="1">
      <c r="A22" s="38" t="inlineStr">
        <is>
          <t>הפקדה חודשית לחשבון המסחר</t>
        </is>
      </c>
      <c r="B22" s="38" t="n">
        <v>0</v>
      </c>
      <c r="D22" s="38" t="n">
        <v>0</v>
      </c>
      <c r="E22" s="38" t="n">
        <v>0</v>
      </c>
    </row>
    <row r="23" ht="15" customHeight="1"/>
    <row r="24" ht="15" customHeight="1"/>
    <row r="25" ht="15" customHeight="1"/>
    <row r="26" ht="15" customHeight="1"/>
    <row r="27" ht="15" customHeight="1"/>
    <row r="28" ht="15" customHeight="1"/>
    <row r="29" ht="15" customHeight="1"/>
  </sheetData>
  <mergeCells count="12">
    <mergeCell ref="A17:A18"/>
    <mergeCell ref="D17:E18"/>
    <mergeCell ref="C17:C18"/>
    <mergeCell ref="A1:E5"/>
    <mergeCell ref="C21:C22"/>
    <mergeCell ref="B17:B18"/>
    <mergeCell ref="C19:C20"/>
    <mergeCell ref="C6:C8"/>
    <mergeCell ref="A6:A8"/>
    <mergeCell ref="D6:D8"/>
    <mergeCell ref="B6:B8"/>
    <mergeCell ref="E6:E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4"/>
  <sheetViews>
    <sheetView rightToLeft="1" workbookViewId="0">
      <selection activeCell="A1" sqref="A1"/>
    </sheetView>
  </sheetViews>
  <sheetFormatPr baseColWidth="8" defaultRowHeight="15"/>
  <cols>
    <col width="22" customWidth="1" min="1" max="1"/>
    <col width="28" customWidth="1" min="2" max="2"/>
    <col width="16" customWidth="1" min="3" max="3"/>
    <col width="28" customWidth="1" min="4" max="4"/>
    <col width="30" customWidth="1" min="5" max="5"/>
  </cols>
  <sheetData>
    <row r="1" ht="32" customHeight="1">
      <c r="A1" s="47" t="inlineStr">
        <is>
          <t>מדריך מיון ופילטור – קובץ פיננסי אישי</t>
        </is>
      </c>
    </row>
    <row r="2" ht="22" customHeight="1">
      <c r="A2" s="15" t="inlineStr">
        <is>
          <t>גיליון</t>
        </is>
      </c>
      <c r="B2" s="15" t="inlineStr">
        <is>
          <t>מיין לפי</t>
        </is>
      </c>
      <c r="C2" s="15" t="inlineStr">
        <is>
          <t>כיוון</t>
        </is>
      </c>
      <c r="D2" s="15" t="inlineStr">
        <is>
          <t>מטרה</t>
        </is>
      </c>
      <c r="E2" s="15" t="inlineStr">
        <is>
          <t>כיצד?</t>
        </is>
      </c>
    </row>
    <row r="3" ht="20" customHeight="1">
      <c r="A3" s="19" t="inlineStr">
        <is>
          <t>עו"ש</t>
        </is>
      </c>
      <c r="B3" s="19" t="inlineStr">
        <is>
          <t>עמודת סה"כ (E)</t>
        </is>
      </c>
      <c r="C3" s="19" t="inlineStr">
        <is>
          <t>גבוה→נמוך</t>
        </is>
      </c>
      <c r="D3" s="19" t="inlineStr">
        <is>
          <t>לזיהוי חודשים יקרים</t>
        </is>
      </c>
      <c r="E3" s="19" t="inlineStr">
        <is>
          <t>נתונים ← מיון ← בחר עמודה</t>
        </is>
      </c>
    </row>
    <row r="4" ht="20" customHeight="1">
      <c r="A4" s="23" t="inlineStr">
        <is>
          <t>עו"ש</t>
        </is>
      </c>
      <c r="B4" s="23" t="inlineStr">
        <is>
          <t>עמודת תאריך (B)</t>
        </is>
      </c>
      <c r="C4" s="23" t="inlineStr">
        <is>
          <t>ישן→חדש</t>
        </is>
      </c>
      <c r="D4" s="23" t="inlineStr">
        <is>
          <t>סדר כרונולוגי</t>
        </is>
      </c>
      <c r="E4" s="23" t="inlineStr">
        <is>
          <t>נתונים ← מיון ← בחר עמודה</t>
        </is>
      </c>
    </row>
    <row r="5" ht="20" customHeight="1">
      <c r="A5" s="19" t="inlineStr">
        <is>
          <t>עו"ש</t>
        </is>
      </c>
      <c r="B5" s="19" t="inlineStr">
        <is>
          <t>עמודת מורן (C)</t>
        </is>
      </c>
      <c r="C5" s="19" t="inlineStr">
        <is>
          <t>גבוה→נמוך</t>
        </is>
      </c>
      <c r="D5" s="19" t="inlineStr">
        <is>
          <t>להשוואת הוצאות אישיות</t>
        </is>
      </c>
      <c r="E5" s="19" t="inlineStr">
        <is>
          <t>נתונים ← מיון ← בחר עמודה</t>
        </is>
      </c>
    </row>
    <row r="6" ht="20" customHeight="1">
      <c r="A6" s="23" t="inlineStr">
        <is>
          <t>הלוואות</t>
        </is>
      </c>
      <c r="B6" s="23" t="inlineStr">
        <is>
          <t>עמודת תאריך (B)</t>
        </is>
      </c>
      <c r="C6" s="23" t="inlineStr">
        <is>
          <t>ישן→חדש</t>
        </is>
      </c>
      <c r="D6" s="23" t="inlineStr">
        <is>
          <t>מעקב לפי זמן</t>
        </is>
      </c>
      <c r="E6" s="23" t="inlineStr">
        <is>
          <t>נתונים ← מיון ← בחר עמודה</t>
        </is>
      </c>
    </row>
    <row r="7" ht="20" customHeight="1">
      <c r="A7" s="19" t="inlineStr">
        <is>
          <t>הלוואות</t>
        </is>
      </c>
      <c r="B7" s="19" t="inlineStr">
        <is>
          <t>עמודת תשלום (C)</t>
        </is>
      </c>
      <c r="C7" s="19" t="inlineStr">
        <is>
          <t>גבוה→נמוך</t>
        </is>
      </c>
      <c r="D7" s="19" t="inlineStr">
        <is>
          <t>חודשי התשלום הגבוהים</t>
        </is>
      </c>
      <c r="E7" s="19" t="inlineStr">
        <is>
          <t>נתונים ← מיון ← בחר עמודה</t>
        </is>
      </c>
    </row>
    <row r="8" ht="20" customHeight="1">
      <c r="A8" s="23" t="inlineStr">
        <is>
          <t>ביטוח רפואי</t>
        </is>
      </c>
      <c r="B8" s="23" t="inlineStr">
        <is>
          <t>עמודת פרמיה (D)</t>
        </is>
      </c>
      <c r="C8" s="23" t="inlineStr">
        <is>
          <t>גבוה→נמוך</t>
        </is>
      </c>
      <c r="D8" s="23" t="inlineStr">
        <is>
          <t>לזיהוי הביטוחים היקרים</t>
        </is>
      </c>
      <c r="E8" s="23" t="inlineStr">
        <is>
          <t>נתונים ← מיון ← בחר עמודה</t>
        </is>
      </c>
    </row>
    <row r="9" ht="20" customHeight="1">
      <c r="A9" s="19" t="inlineStr">
        <is>
          <t>ביטוח רפואי</t>
        </is>
      </c>
      <c r="B9" s="19" t="inlineStr">
        <is>
          <t>עמודת תאריך סיום (G)</t>
        </is>
      </c>
      <c r="C9" s="19" t="inlineStr">
        <is>
          <t>קרוב→רחוק</t>
        </is>
      </c>
      <c r="D9" s="19" t="inlineStr">
        <is>
          <t>ביטוחים הפגים הכי מהר</t>
        </is>
      </c>
      <c r="E9" s="19" t="inlineStr">
        <is>
          <t>נתונים ← מיון ← בחר עמודה</t>
        </is>
      </c>
    </row>
    <row r="10" ht="20" customHeight="1">
      <c r="A10" s="23" t="inlineStr">
        <is>
          <t>מחשבון דמי ניהול</t>
        </is>
      </c>
      <c r="B10" s="23" t="inlineStr">
        <is>
          <t>עמודת יתרה סופית (E)</t>
        </is>
      </c>
      <c r="C10" s="23" t="inlineStr">
        <is>
          <t>גבוה→נמוך</t>
        </is>
      </c>
      <c r="D10" s="23" t="inlineStr">
        <is>
          <t>לבחירת האלטרנטיבה הטובה</t>
        </is>
      </c>
      <c r="E10" s="23" t="inlineStr">
        <is>
          <t>נתונים ← מיון ← בחר עמודה</t>
        </is>
      </c>
    </row>
    <row r="11" ht="20" customHeight="1">
      <c r="A11" s="19" t="inlineStr">
        <is>
          <t>פנסייה</t>
        </is>
      </c>
      <c r="B11" s="19" t="inlineStr">
        <is>
          <t>עמודת צבירה</t>
        </is>
      </c>
      <c r="C11" s="19" t="inlineStr">
        <is>
          <t>גבוה→נמוך</t>
        </is>
      </c>
      <c r="D11" s="19" t="inlineStr">
        <is>
          <t>להשוואת גדלי הצבירות</t>
        </is>
      </c>
      <c r="E11" s="19" t="inlineStr">
        <is>
          <t>נתונים ← מיון ← בחר עמודה</t>
        </is>
      </c>
    </row>
    <row r="14" ht="28" customHeight="1">
      <c r="A14" s="48" t="inlineStr">
        <is>
          <t>💡 טיפ: השתמש ב-AutoFilter (Ctrl+Shift+L) על כל טבלה כדי לפלטר לפי קריטריונים מרובים</t>
        </is>
      </c>
    </row>
  </sheetData>
  <mergeCells count="2">
    <mergeCell ref="A1:E1"/>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2026-02-21T15:26:49Z</dcterms:created>
  <dcterms:modified xsi:type="dcterms:W3CDTF">2026-02-21T15:26:50Z</dcterms:modified>
</cp:coreProperties>
</file>